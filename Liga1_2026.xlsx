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MPRESA\"/>
    </mc:Choice>
  </mc:AlternateContent>
  <xr:revisionPtr revIDLastSave="0" documentId="13_ncr:1_{2282103F-AF0A-4F3B-AF88-8310A04B8F26}" xr6:coauthVersionLast="47" xr6:coauthVersionMax="47" xr10:uidLastSave="{00000000-0000-0000-0000-000000000000}"/>
  <bookViews>
    <workbookView xWindow="-120" yWindow="-120" windowWidth="29040" windowHeight="15840" activeTab="1" xr2:uid="{92099A8A-09DA-40B1-A95C-2AD63072D0A5}"/>
  </bookViews>
  <sheets>
    <sheet name="Data_Geografica" sheetId="1" r:id="rId1"/>
    <sheet name="Partidos_Fecha" sheetId="2" r:id="rId2"/>
    <sheet name="Resultados_Clausura" sheetId="3" r:id="rId3"/>
    <sheet name="Tabla_Clausura" sheetId="4" r:id="rId4"/>
    <sheet name="Tabla_Acumulada" sheetId="5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" i="4"/>
</calcChain>
</file>

<file path=xl/sharedStrings.xml><?xml version="1.0" encoding="utf-8"?>
<sst xmlns="http://schemas.openxmlformats.org/spreadsheetml/2006/main" count="516" uniqueCount="109">
  <si>
    <t>Club</t>
  </si>
  <si>
    <t>Ciudad</t>
  </si>
  <si>
    <t>Altitud_msnm</t>
  </si>
  <si>
    <t>Tipo_Clima</t>
  </si>
  <si>
    <t>Tipo_Cancha</t>
  </si>
  <si>
    <t>ADT</t>
  </si>
  <si>
    <t>Tarma</t>
  </si>
  <si>
    <t>Altura Extremada</t>
  </si>
  <si>
    <t>Natural</t>
  </si>
  <si>
    <t>Alianza Atlético</t>
  </si>
  <si>
    <t>Sullana</t>
  </si>
  <si>
    <t>Calor Extremo</t>
  </si>
  <si>
    <t>Alianza Lima</t>
  </si>
  <si>
    <t>Lima</t>
  </si>
  <si>
    <t>Llano</t>
  </si>
  <si>
    <t>Atlético Grau</t>
  </si>
  <si>
    <t>Piura</t>
  </si>
  <si>
    <t>Cienciano</t>
  </si>
  <si>
    <t>Cusco</t>
  </si>
  <si>
    <t>Comerciantes Unidos</t>
  </si>
  <si>
    <t>Cutervo</t>
  </si>
  <si>
    <t>Altura Media</t>
  </si>
  <si>
    <t>Sintético</t>
  </si>
  <si>
    <t>Cusco FC</t>
  </si>
  <si>
    <t>Sport Huancayo</t>
  </si>
  <si>
    <t>Huancayo</t>
  </si>
  <si>
    <t>Deportivo Garcilaso</t>
  </si>
  <si>
    <t>CD Moquegua</t>
  </si>
  <si>
    <t>Moquegua</t>
  </si>
  <si>
    <t>Altura Media/Calor</t>
  </si>
  <si>
    <t>FC Cajamarca</t>
  </si>
  <si>
    <t>Cajamarca</t>
  </si>
  <si>
    <t>Juan Pablo II College</t>
  </si>
  <si>
    <t>Chongoyape</t>
  </si>
  <si>
    <t>Calor</t>
  </si>
  <si>
    <t>Chankas CYC</t>
  </si>
  <si>
    <t>Andahuaylas</t>
  </si>
  <si>
    <t>Melgar</t>
  </si>
  <si>
    <t>Arequipa</t>
  </si>
  <si>
    <t>Sport Boys</t>
  </si>
  <si>
    <t>Callao</t>
  </si>
  <si>
    <t>Llano/Humedad</t>
  </si>
  <si>
    <t>Sporting Cristal</t>
  </si>
  <si>
    <t>Universitario</t>
  </si>
  <si>
    <t>UTC Cajamarca</t>
  </si>
  <si>
    <t>Jornada</t>
  </si>
  <si>
    <t>Hora</t>
  </si>
  <si>
    <t>Local</t>
  </si>
  <si>
    <t>Visita</t>
  </si>
  <si>
    <t>Estadio</t>
  </si>
  <si>
    <t>Altitud_Local</t>
  </si>
  <si>
    <t>Altitud_Visita</t>
  </si>
  <si>
    <t>Delta_Altitud_msnm</t>
  </si>
  <si>
    <t>Dias_Descanso_Local</t>
  </si>
  <si>
    <t>Dias_Descanso_Visita</t>
  </si>
  <si>
    <t>Jornada 8</t>
  </si>
  <si>
    <t>Viernes 04/09/2026</t>
  </si>
  <si>
    <t>Club Cienciano</t>
  </si>
  <si>
    <t>Estadio Héroes de San Ramón</t>
  </si>
  <si>
    <t>UTC</t>
  </si>
  <si>
    <t>Estadio Campeones del 36</t>
  </si>
  <si>
    <t>Sábado 05/09/2026</t>
  </si>
  <si>
    <t>Estadio IPD Huancayo</t>
  </si>
  <si>
    <t>Estadio Inca Garcilaso de la Vega</t>
  </si>
  <si>
    <t>Estadio Monumental «U»</t>
  </si>
  <si>
    <t>Domingo 06/09/2026</t>
  </si>
  <si>
    <t>Los Chankas</t>
  </si>
  <si>
    <t>Estadio Alberto Gallardo</t>
  </si>
  <si>
    <t>Complejo Deportivo Juan Pablo II</t>
  </si>
  <si>
    <t>FBC Melgar</t>
  </si>
  <si>
    <t>Estadio Monumental UNSA</t>
  </si>
  <si>
    <t>Jornada 9</t>
  </si>
  <si>
    <t>Viernes 11/09/2026</t>
  </si>
  <si>
    <t>Sábado 12/09/2026</t>
  </si>
  <si>
    <t>Estadio Los Chankas</t>
  </si>
  <si>
    <t>Estadio Juan Maldonado Gamarra</t>
  </si>
  <si>
    <t>Estadio 25 de Noviembre</t>
  </si>
  <si>
    <t>Estadio Alejandro Villanueva</t>
  </si>
  <si>
    <t>Goles_Local</t>
  </si>
  <si>
    <t>Goles_Visita</t>
  </si>
  <si>
    <t>xG_Local</t>
  </si>
  <si>
    <t>xG_Visita</t>
  </si>
  <si>
    <t>Jornada 1</t>
  </si>
  <si>
    <t>Jornada 2</t>
  </si>
  <si>
    <t>Jornada 3</t>
  </si>
  <si>
    <t>Jornada 4</t>
  </si>
  <si>
    <t>Jornada 5</t>
  </si>
  <si>
    <t>Jornada 6</t>
  </si>
  <si>
    <t>Jornada 7</t>
  </si>
  <si>
    <t>Pos</t>
  </si>
  <si>
    <t>Equipo</t>
  </si>
  <si>
    <t>PJ</t>
  </si>
  <si>
    <t>PG</t>
  </si>
  <si>
    <t>PE</t>
  </si>
  <si>
    <t>PP</t>
  </si>
  <si>
    <t>GF</t>
  </si>
  <si>
    <t>GC</t>
  </si>
  <si>
    <t>DG</t>
  </si>
  <si>
    <t>Pts</t>
  </si>
  <si>
    <t>Rango</t>
  </si>
  <si>
    <t>Situación Actual</t>
  </si>
  <si>
    <t>Copa Libertadores (Fase de Grupos)</t>
  </si>
  <si>
    <t>Copa Libertadores (Pre-eliminatoria)</t>
  </si>
  <si>
    <t>Copa Sudamericana</t>
  </si>
  <si>
    <t>Zona Media</t>
  </si>
  <si>
    <t>Peligro de Descenso</t>
  </si>
  <si>
    <t>Zona de Riesgo Directo</t>
  </si>
  <si>
    <t>Zona de Descenso Directo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</si>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</sst>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C8FF-65BF-46C5-BA6F-FDF676811D8B}">
  <dimension ref="A1:E19"/>
  <sheetViews>
    <sheetView workbookViewId="0">
      <selection activeCell="B19" sqref="B19"/>
    </sheetView>
  </sheetViews>
  <sheetFormatPr baseColWidth="10" defaultRowHeight="15" x14ac:dyDescent="0.25"/>
  <cols>
    <col min="1" max="1" width="19.85546875" bestFit="1" customWidth="1"/>
    <col min="3" max="3" width="13.5703125" bestFit="1" customWidth="1"/>
    <col min="4" max="4" width="18" bestFit="1" customWidth="1"/>
    <col min="5" max="5" width="12.140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>
        <v>3050</v>
      </c>
      <c r="D2" t="s">
        <v>7</v>
      </c>
      <c r="E2" t="s">
        <v>8</v>
      </c>
    </row>
    <row r="3" spans="1:5" x14ac:dyDescent="0.25">
      <c r="A3" t="s">
        <v>9</v>
      </c>
      <c r="B3" t="s">
        <v>10</v>
      </c>
      <c r="C3">
        <v>50</v>
      </c>
      <c r="D3" t="s">
        <v>11</v>
      </c>
      <c r="E3" t="s">
        <v>8</v>
      </c>
    </row>
    <row r="4" spans="1:5" x14ac:dyDescent="0.25">
      <c r="A4" t="s">
        <v>12</v>
      </c>
      <c r="B4" t="s">
        <v>13</v>
      </c>
      <c r="C4">
        <v>150</v>
      </c>
      <c r="D4" t="s">
        <v>14</v>
      </c>
      <c r="E4" t="s">
        <v>8</v>
      </c>
    </row>
    <row r="5" spans="1:5" x14ac:dyDescent="0.25">
      <c r="A5" t="s">
        <v>15</v>
      </c>
      <c r="B5" t="s">
        <v>16</v>
      </c>
      <c r="C5">
        <v>50</v>
      </c>
      <c r="D5" t="s">
        <v>11</v>
      </c>
      <c r="E5" t="s">
        <v>8</v>
      </c>
    </row>
    <row r="6" spans="1:5" x14ac:dyDescent="0.25">
      <c r="A6" t="s">
        <v>17</v>
      </c>
      <c r="B6" t="s">
        <v>18</v>
      </c>
      <c r="C6">
        <v>3399</v>
      </c>
      <c r="D6" t="s">
        <v>7</v>
      </c>
      <c r="E6" t="s">
        <v>8</v>
      </c>
    </row>
    <row r="7" spans="1:5" x14ac:dyDescent="0.25">
      <c r="A7" t="s">
        <v>19</v>
      </c>
      <c r="B7" t="s">
        <v>20</v>
      </c>
      <c r="C7">
        <v>2620</v>
      </c>
      <c r="D7" t="s">
        <v>21</v>
      </c>
      <c r="E7" t="s">
        <v>22</v>
      </c>
    </row>
    <row r="8" spans="1:5" x14ac:dyDescent="0.25">
      <c r="A8" t="s">
        <v>23</v>
      </c>
      <c r="B8" t="s">
        <v>18</v>
      </c>
      <c r="C8">
        <v>3399</v>
      </c>
      <c r="D8" t="s">
        <v>7</v>
      </c>
      <c r="E8" t="s">
        <v>8</v>
      </c>
    </row>
    <row r="9" spans="1:5" x14ac:dyDescent="0.25">
      <c r="A9" t="s">
        <v>24</v>
      </c>
      <c r="B9" t="s">
        <v>25</v>
      </c>
      <c r="C9">
        <v>3259</v>
      </c>
      <c r="D9" t="s">
        <v>7</v>
      </c>
      <c r="E9" t="s">
        <v>8</v>
      </c>
    </row>
    <row r="10" spans="1:5" x14ac:dyDescent="0.25">
      <c r="A10" t="s">
        <v>26</v>
      </c>
      <c r="B10" t="s">
        <v>18</v>
      </c>
      <c r="C10">
        <v>3399</v>
      </c>
      <c r="D10" t="s">
        <v>7</v>
      </c>
      <c r="E10" t="s">
        <v>8</v>
      </c>
    </row>
    <row r="11" spans="1:5" x14ac:dyDescent="0.25">
      <c r="A11" t="s">
        <v>27</v>
      </c>
      <c r="B11" t="s">
        <v>28</v>
      </c>
      <c r="C11">
        <v>1410</v>
      </c>
      <c r="D11" t="s">
        <v>29</v>
      </c>
      <c r="E11" t="s">
        <v>8</v>
      </c>
    </row>
    <row r="12" spans="1:5" x14ac:dyDescent="0.25">
      <c r="A12" t="s">
        <v>30</v>
      </c>
      <c r="B12" t="s">
        <v>31</v>
      </c>
      <c r="C12">
        <v>2750</v>
      </c>
      <c r="D12" t="s">
        <v>21</v>
      </c>
      <c r="E12" t="s">
        <v>22</v>
      </c>
    </row>
    <row r="13" spans="1:5" x14ac:dyDescent="0.25">
      <c r="A13" t="s">
        <v>32</v>
      </c>
      <c r="B13" t="s">
        <v>33</v>
      </c>
      <c r="C13">
        <v>150</v>
      </c>
      <c r="D13" t="s">
        <v>34</v>
      </c>
      <c r="E13" t="s">
        <v>8</v>
      </c>
    </row>
    <row r="14" spans="1:5" x14ac:dyDescent="0.25">
      <c r="A14" t="s">
        <v>35</v>
      </c>
      <c r="B14" t="s">
        <v>36</v>
      </c>
      <c r="C14">
        <v>2920</v>
      </c>
      <c r="D14" t="s">
        <v>7</v>
      </c>
      <c r="E14" t="s">
        <v>8</v>
      </c>
    </row>
    <row r="15" spans="1:5" x14ac:dyDescent="0.25">
      <c r="A15" t="s">
        <v>37</v>
      </c>
      <c r="B15" t="s">
        <v>38</v>
      </c>
      <c r="C15">
        <v>2335</v>
      </c>
      <c r="D15" t="s">
        <v>21</v>
      </c>
      <c r="E15" t="s">
        <v>8</v>
      </c>
    </row>
    <row r="16" spans="1:5" x14ac:dyDescent="0.25">
      <c r="A16" t="s">
        <v>39</v>
      </c>
      <c r="B16" t="s">
        <v>40</v>
      </c>
      <c r="C16">
        <v>10</v>
      </c>
      <c r="D16" t="s">
        <v>41</v>
      </c>
      <c r="E16" t="s">
        <v>8</v>
      </c>
    </row>
    <row r="17" spans="1:5" x14ac:dyDescent="0.25">
      <c r="A17" t="s">
        <v>42</v>
      </c>
      <c r="B17" t="s">
        <v>13</v>
      </c>
      <c r="C17">
        <v>150</v>
      </c>
      <c r="D17" t="s">
        <v>14</v>
      </c>
      <c r="E17" t="s">
        <v>8</v>
      </c>
    </row>
    <row r="18" spans="1:5" x14ac:dyDescent="0.25">
      <c r="A18" t="s">
        <v>43</v>
      </c>
      <c r="B18" t="s">
        <v>13</v>
      </c>
      <c r="C18">
        <v>150</v>
      </c>
      <c r="D18" t="s">
        <v>14</v>
      </c>
      <c r="E18" t="s">
        <v>8</v>
      </c>
    </row>
    <row r="19" spans="1:5" x14ac:dyDescent="0.25">
      <c r="A19" t="s">
        <v>44</v>
      </c>
      <c r="B19" t="s">
        <v>31</v>
      </c>
      <c r="C19">
        <v>2750</v>
      </c>
      <c r="D19" t="s">
        <v>21</v>
      </c>
      <c r="E19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765B-6A9C-48D0-8A54-733808D8C2D8}">
  <dimension ref="A1:L16"/>
  <sheetViews>
    <sheetView tabSelected="1" workbookViewId="0">
      <selection activeCell="A11" sqref="A11"/>
    </sheetView>
  </sheetViews>
  <sheetFormatPr baseColWidth="10" defaultRowHeight="15" x14ac:dyDescent="0.25"/>
  <cols>
    <col min="1" max="1" width="9.28515625" bestFit="1" customWidth="1"/>
    <col min="2" max="2" width="19.28515625" bestFit="1" customWidth="1"/>
    <col min="3" max="3" width="8.140625" bestFit="1" customWidth="1"/>
    <col min="4" max="5" width="19.85546875" bestFit="1" customWidth="1"/>
    <col min="6" max="6" width="30.7109375" bestFit="1" customWidth="1"/>
    <col min="7" max="7" width="12.28515625" bestFit="1" customWidth="1"/>
    <col min="8" max="8" width="12.5703125" bestFit="1" customWidth="1"/>
    <col min="9" max="9" width="13.140625" bestFit="1" customWidth="1"/>
    <col min="10" max="10" width="19.42578125" bestFit="1" customWidth="1"/>
    <col min="11" max="11" width="19.5703125" bestFit="1" customWidth="1"/>
    <col min="12" max="12" width="20.140625" bestFit="1" customWidth="1"/>
  </cols>
  <sheetData>
    <row r="1" spans="1:12" s="1" customFormat="1" x14ac:dyDescent="0.25">
      <c r="A1" s="1" t="s">
        <v>45</v>
      </c>
      <c r="B1" s="1" t="s">
        <v>108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1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54</v>
      </c>
    </row>
    <row r="2" spans="1:12" x14ac:dyDescent="0.25">
      <c r="A2" t="s">
        <v>55</v>
      </c>
      <c r="B2" t="s">
        <v>56</v>
      </c>
      <c r="C2" s="2">
        <v>0.54166666666666663</v>
      </c>
      <c r="D2" t="s">
        <v>30</v>
      </c>
      <c r="E2" t="s">
        <v>57</v>
      </c>
      <c r="F2" t="s">
        <v>58</v>
      </c>
      <c r="G2" t="s">
        <v>31</v>
      </c>
      <c r="H2">
        <v>2750</v>
      </c>
      <c r="I2">
        <v>3399</v>
      </c>
      <c r="J2">
        <v>0</v>
      </c>
      <c r="K2">
        <v>7</v>
      </c>
      <c r="L2">
        <v>7</v>
      </c>
    </row>
    <row r="3" spans="1:12" x14ac:dyDescent="0.25">
      <c r="A3" t="s">
        <v>55</v>
      </c>
      <c r="B3" t="s">
        <v>56</v>
      </c>
      <c r="C3" s="2">
        <v>0.63541666666666663</v>
      </c>
      <c r="D3" t="s">
        <v>9</v>
      </c>
      <c r="E3" t="s">
        <v>59</v>
      </c>
      <c r="F3" t="s">
        <v>60</v>
      </c>
      <c r="G3" t="s">
        <v>10</v>
      </c>
      <c r="H3">
        <v>50</v>
      </c>
      <c r="I3">
        <v>2750</v>
      </c>
      <c r="J3">
        <v>0</v>
      </c>
      <c r="K3">
        <v>7</v>
      </c>
      <c r="L3">
        <v>7</v>
      </c>
    </row>
    <row r="4" spans="1:12" x14ac:dyDescent="0.25">
      <c r="A4" t="s">
        <v>55</v>
      </c>
      <c r="B4" t="s">
        <v>61</v>
      </c>
      <c r="C4" s="2">
        <v>0.625</v>
      </c>
      <c r="D4" t="s">
        <v>24</v>
      </c>
      <c r="E4" t="s">
        <v>39</v>
      </c>
      <c r="F4" t="s">
        <v>62</v>
      </c>
      <c r="G4" t="s">
        <v>25</v>
      </c>
      <c r="H4">
        <v>3259</v>
      </c>
      <c r="I4">
        <v>10</v>
      </c>
      <c r="J4">
        <v>3249</v>
      </c>
      <c r="K4">
        <v>7</v>
      </c>
      <c r="L4">
        <v>7</v>
      </c>
    </row>
    <row r="5" spans="1:12" x14ac:dyDescent="0.25">
      <c r="A5" t="s">
        <v>55</v>
      </c>
      <c r="B5" t="s">
        <v>61</v>
      </c>
      <c r="C5" s="2">
        <v>0.75</v>
      </c>
      <c r="D5" t="s">
        <v>23</v>
      </c>
      <c r="E5" t="s">
        <v>27</v>
      </c>
      <c r="F5" t="s">
        <v>63</v>
      </c>
      <c r="G5" t="s">
        <v>18</v>
      </c>
      <c r="H5">
        <v>3399</v>
      </c>
      <c r="I5">
        <v>1410</v>
      </c>
      <c r="J5">
        <v>1989</v>
      </c>
      <c r="K5">
        <v>7</v>
      </c>
      <c r="L5">
        <v>7</v>
      </c>
    </row>
    <row r="6" spans="1:12" x14ac:dyDescent="0.25">
      <c r="A6" t="s">
        <v>55</v>
      </c>
      <c r="B6" t="s">
        <v>61</v>
      </c>
      <c r="C6" s="2">
        <v>0.85416666666666663</v>
      </c>
      <c r="D6" t="s">
        <v>43</v>
      </c>
      <c r="E6" t="s">
        <v>19</v>
      </c>
      <c r="F6" t="s">
        <v>64</v>
      </c>
      <c r="G6" t="s">
        <v>13</v>
      </c>
      <c r="H6">
        <v>150</v>
      </c>
      <c r="I6">
        <v>2620</v>
      </c>
      <c r="J6">
        <v>0</v>
      </c>
      <c r="K6">
        <v>7</v>
      </c>
      <c r="L6">
        <v>7</v>
      </c>
    </row>
    <row r="7" spans="1:12" x14ac:dyDescent="0.25">
      <c r="A7" t="s">
        <v>55</v>
      </c>
      <c r="B7" t="s">
        <v>65</v>
      </c>
      <c r="C7" s="2">
        <v>0.45833333333333331</v>
      </c>
      <c r="D7" t="s">
        <v>42</v>
      </c>
      <c r="E7" t="s">
        <v>66</v>
      </c>
      <c r="F7" t="s">
        <v>67</v>
      </c>
      <c r="G7" t="s">
        <v>13</v>
      </c>
      <c r="H7">
        <v>150</v>
      </c>
      <c r="I7">
        <v>2920</v>
      </c>
      <c r="J7">
        <v>0</v>
      </c>
      <c r="K7">
        <v>7</v>
      </c>
      <c r="L7">
        <v>7</v>
      </c>
    </row>
    <row r="8" spans="1:12" x14ac:dyDescent="0.25">
      <c r="A8" t="s">
        <v>55</v>
      </c>
      <c r="B8" t="s">
        <v>65</v>
      </c>
      <c r="C8" s="2">
        <v>0.5625</v>
      </c>
      <c r="D8" t="s">
        <v>26</v>
      </c>
      <c r="E8" t="s">
        <v>15</v>
      </c>
      <c r="F8" t="s">
        <v>63</v>
      </c>
      <c r="G8" t="s">
        <v>18</v>
      </c>
      <c r="H8">
        <v>3399</v>
      </c>
      <c r="I8">
        <v>50</v>
      </c>
      <c r="J8">
        <v>3349</v>
      </c>
      <c r="K8">
        <v>7</v>
      </c>
      <c r="L8">
        <v>7</v>
      </c>
    </row>
    <row r="9" spans="1:12" x14ac:dyDescent="0.25">
      <c r="A9" t="s">
        <v>55</v>
      </c>
      <c r="B9" t="s">
        <v>65</v>
      </c>
      <c r="C9" s="2">
        <v>0.625</v>
      </c>
      <c r="D9" t="s">
        <v>32</v>
      </c>
      <c r="E9" t="s">
        <v>12</v>
      </c>
      <c r="F9" t="s">
        <v>68</v>
      </c>
      <c r="G9" t="s">
        <v>33</v>
      </c>
      <c r="H9">
        <v>150</v>
      </c>
      <c r="I9">
        <v>150</v>
      </c>
      <c r="J9">
        <v>0</v>
      </c>
      <c r="K9">
        <v>7</v>
      </c>
      <c r="L9">
        <v>7</v>
      </c>
    </row>
    <row r="10" spans="1:12" x14ac:dyDescent="0.25">
      <c r="A10" t="s">
        <v>55</v>
      </c>
      <c r="B10" t="s">
        <v>65</v>
      </c>
      <c r="C10" s="2">
        <v>0.77083333333333337</v>
      </c>
      <c r="D10" t="s">
        <v>69</v>
      </c>
      <c r="E10" t="s">
        <v>5</v>
      </c>
      <c r="F10" t="s">
        <v>70</v>
      </c>
      <c r="G10" t="s">
        <v>38</v>
      </c>
      <c r="H10">
        <v>2335</v>
      </c>
      <c r="I10">
        <v>3050</v>
      </c>
      <c r="J10">
        <v>0</v>
      </c>
      <c r="K10">
        <v>7</v>
      </c>
      <c r="L10">
        <v>7</v>
      </c>
    </row>
    <row r="11" spans="1:12" x14ac:dyDescent="0.25">
      <c r="A11" t="s">
        <v>71</v>
      </c>
      <c r="B11" t="s">
        <v>72</v>
      </c>
      <c r="C11" s="2">
        <v>0.625</v>
      </c>
      <c r="D11" t="s">
        <v>59</v>
      </c>
      <c r="E11" t="s">
        <v>32</v>
      </c>
      <c r="F11" t="s">
        <v>58</v>
      </c>
      <c r="G11" t="s">
        <v>31</v>
      </c>
      <c r="H11">
        <v>2750</v>
      </c>
      <c r="I11">
        <v>150</v>
      </c>
      <c r="J11">
        <v>2600</v>
      </c>
      <c r="K11">
        <v>7</v>
      </c>
      <c r="L11">
        <v>7</v>
      </c>
    </row>
    <row r="12" spans="1:12" x14ac:dyDescent="0.25">
      <c r="A12" t="s">
        <v>71</v>
      </c>
      <c r="B12" t="s">
        <v>72</v>
      </c>
      <c r="C12" s="2">
        <v>0.79166666666666663</v>
      </c>
      <c r="D12" t="s">
        <v>23</v>
      </c>
      <c r="E12" t="s">
        <v>69</v>
      </c>
      <c r="F12" t="s">
        <v>63</v>
      </c>
      <c r="G12" t="s">
        <v>18</v>
      </c>
      <c r="H12">
        <v>3399</v>
      </c>
      <c r="I12">
        <v>2335</v>
      </c>
      <c r="J12">
        <v>1064</v>
      </c>
      <c r="K12">
        <v>7</v>
      </c>
      <c r="L12">
        <v>7</v>
      </c>
    </row>
    <row r="13" spans="1:12" x14ac:dyDescent="0.25">
      <c r="A13" t="s">
        <v>71</v>
      </c>
      <c r="B13" t="s">
        <v>73</v>
      </c>
      <c r="C13" s="2">
        <v>0.4375</v>
      </c>
      <c r="D13" t="s">
        <v>66</v>
      </c>
      <c r="E13" t="s">
        <v>30</v>
      </c>
      <c r="F13" t="s">
        <v>74</v>
      </c>
      <c r="G13" t="s">
        <v>36</v>
      </c>
      <c r="H13">
        <v>2920</v>
      </c>
      <c r="I13">
        <v>2750</v>
      </c>
      <c r="J13">
        <v>170</v>
      </c>
      <c r="K13">
        <v>7</v>
      </c>
      <c r="L13">
        <v>7</v>
      </c>
    </row>
    <row r="14" spans="1:12" x14ac:dyDescent="0.25">
      <c r="A14" t="s">
        <v>71</v>
      </c>
      <c r="B14" t="s">
        <v>73</v>
      </c>
      <c r="C14" s="2">
        <v>0.54166666666666663</v>
      </c>
      <c r="D14" t="s">
        <v>19</v>
      </c>
      <c r="E14" t="s">
        <v>24</v>
      </c>
      <c r="F14" t="s">
        <v>75</v>
      </c>
      <c r="G14" t="s">
        <v>20</v>
      </c>
      <c r="H14">
        <v>2620</v>
      </c>
      <c r="I14">
        <v>3259</v>
      </c>
      <c r="J14">
        <v>0</v>
      </c>
      <c r="K14">
        <v>7</v>
      </c>
      <c r="L14">
        <v>7</v>
      </c>
    </row>
    <row r="15" spans="1:12" x14ac:dyDescent="0.25">
      <c r="A15" t="s">
        <v>71</v>
      </c>
      <c r="B15" t="s">
        <v>73</v>
      </c>
      <c r="C15" s="2">
        <v>0.63541666666666663</v>
      </c>
      <c r="D15" t="s">
        <v>27</v>
      </c>
      <c r="E15" t="s">
        <v>42</v>
      </c>
      <c r="F15" t="s">
        <v>76</v>
      </c>
      <c r="G15" t="s">
        <v>28</v>
      </c>
      <c r="H15">
        <v>1410</v>
      </c>
      <c r="I15">
        <v>150</v>
      </c>
      <c r="J15">
        <v>1260</v>
      </c>
      <c r="K15">
        <v>7</v>
      </c>
      <c r="L15">
        <v>7</v>
      </c>
    </row>
    <row r="16" spans="1:12" x14ac:dyDescent="0.25">
      <c r="A16" t="s">
        <v>71</v>
      </c>
      <c r="B16" t="s">
        <v>73</v>
      </c>
      <c r="C16" s="2">
        <v>0.83333333333333337</v>
      </c>
      <c r="D16" t="s">
        <v>12</v>
      </c>
      <c r="E16" t="s">
        <v>43</v>
      </c>
      <c r="F16" t="s">
        <v>77</v>
      </c>
      <c r="G16" t="s">
        <v>13</v>
      </c>
      <c r="H16">
        <v>150</v>
      </c>
      <c r="I16">
        <v>150</v>
      </c>
      <c r="J16">
        <v>0</v>
      </c>
      <c r="K16">
        <v>7</v>
      </c>
      <c r="L16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3F97-1671-40E2-81D9-BD3BE86FED8A}">
  <dimension ref="A1:J64"/>
  <sheetViews>
    <sheetView workbookViewId="0">
      <selection activeCell="E66" sqref="E66"/>
    </sheetView>
  </sheetViews>
  <sheetFormatPr baseColWidth="10" defaultRowHeight="15" x14ac:dyDescent="0.25"/>
  <cols>
    <col min="1" max="1" width="9.28515625" bestFit="1" customWidth="1"/>
    <col min="2" max="2" width="19.85546875" bestFit="1" customWidth="1"/>
    <col min="3" max="3" width="11.5703125" bestFit="1" customWidth="1"/>
    <col min="4" max="4" width="12.140625" bestFit="1" customWidth="1"/>
    <col min="5" max="5" width="19.85546875" bestFit="1" customWidth="1"/>
    <col min="6" max="6" width="12.28515625" bestFit="1" customWidth="1"/>
    <col min="7" max="7" width="12.5703125" bestFit="1" customWidth="1"/>
    <col min="8" max="8" width="13.140625" bestFit="1" customWidth="1"/>
    <col min="9" max="9" width="8.85546875" bestFit="1" customWidth="1"/>
    <col min="10" max="10" width="9.42578125" bestFit="1" customWidth="1"/>
  </cols>
  <sheetData>
    <row r="1" spans="1:10" s="1" customFormat="1" x14ac:dyDescent="0.25">
      <c r="A1" s="1" t="s">
        <v>45</v>
      </c>
      <c r="B1" s="1" t="s">
        <v>47</v>
      </c>
      <c r="C1" s="1" t="s">
        <v>78</v>
      </c>
      <c r="D1" s="1" t="s">
        <v>79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80</v>
      </c>
      <c r="J1" s="1" t="s">
        <v>81</v>
      </c>
    </row>
    <row r="2" spans="1:10" x14ac:dyDescent="0.25">
      <c r="A2" t="s">
        <v>82</v>
      </c>
      <c r="B2" t="s">
        <v>30</v>
      </c>
      <c r="C2">
        <v>2</v>
      </c>
      <c r="D2">
        <v>2</v>
      </c>
      <c r="E2" t="s">
        <v>32</v>
      </c>
      <c r="F2" t="s">
        <v>31</v>
      </c>
      <c r="G2">
        <v>2750</v>
      </c>
      <c r="H2">
        <v>150</v>
      </c>
      <c r="I2">
        <v>2.0499999999999998</v>
      </c>
      <c r="J2">
        <v>1.95</v>
      </c>
    </row>
    <row r="3" spans="1:10" x14ac:dyDescent="0.25">
      <c r="A3" t="s">
        <v>82</v>
      </c>
      <c r="B3" t="s">
        <v>42</v>
      </c>
      <c r="C3">
        <v>1</v>
      </c>
      <c r="D3">
        <v>0</v>
      </c>
      <c r="E3" t="s">
        <v>26</v>
      </c>
      <c r="F3" t="s">
        <v>13</v>
      </c>
      <c r="G3">
        <v>150</v>
      </c>
      <c r="H3">
        <v>3399</v>
      </c>
      <c r="I3">
        <v>1.2</v>
      </c>
      <c r="J3">
        <v>0.25</v>
      </c>
    </row>
    <row r="4" spans="1:10" x14ac:dyDescent="0.25">
      <c r="A4" t="s">
        <v>82</v>
      </c>
      <c r="B4" t="s">
        <v>17</v>
      </c>
      <c r="C4">
        <v>1</v>
      </c>
      <c r="D4">
        <v>3</v>
      </c>
      <c r="E4" t="s">
        <v>37</v>
      </c>
      <c r="F4" t="s">
        <v>18</v>
      </c>
      <c r="G4">
        <v>3399</v>
      </c>
      <c r="H4">
        <v>2335</v>
      </c>
      <c r="I4">
        <v>1.2</v>
      </c>
      <c r="J4">
        <v>2.8</v>
      </c>
    </row>
    <row r="5" spans="1:10" x14ac:dyDescent="0.25">
      <c r="A5" t="s">
        <v>82</v>
      </c>
      <c r="B5" t="s">
        <v>27</v>
      </c>
      <c r="C5">
        <v>2</v>
      </c>
      <c r="D5">
        <v>2</v>
      </c>
      <c r="E5" t="s">
        <v>19</v>
      </c>
      <c r="F5" t="s">
        <v>28</v>
      </c>
      <c r="G5">
        <v>1410</v>
      </c>
      <c r="H5">
        <v>2620</v>
      </c>
      <c r="I5">
        <v>2.0499999999999998</v>
      </c>
      <c r="J5">
        <v>1.95</v>
      </c>
    </row>
    <row r="6" spans="1:10" x14ac:dyDescent="0.25">
      <c r="A6" t="s">
        <v>82</v>
      </c>
      <c r="B6" t="s">
        <v>5</v>
      </c>
      <c r="C6">
        <v>1</v>
      </c>
      <c r="D6">
        <v>2</v>
      </c>
      <c r="E6" t="s">
        <v>43</v>
      </c>
      <c r="F6" t="s">
        <v>6</v>
      </c>
      <c r="G6">
        <v>3050</v>
      </c>
      <c r="H6">
        <v>150</v>
      </c>
      <c r="I6">
        <v>1.2</v>
      </c>
      <c r="J6">
        <v>1.95</v>
      </c>
    </row>
    <row r="7" spans="1:10" x14ac:dyDescent="0.25">
      <c r="A7" t="s">
        <v>82</v>
      </c>
      <c r="B7" t="s">
        <v>15</v>
      </c>
      <c r="C7">
        <v>3</v>
      </c>
      <c r="D7">
        <v>1</v>
      </c>
      <c r="E7" t="s">
        <v>44</v>
      </c>
      <c r="F7" t="s">
        <v>10</v>
      </c>
      <c r="G7">
        <v>50</v>
      </c>
      <c r="H7">
        <v>2750</v>
      </c>
      <c r="I7">
        <v>2.9</v>
      </c>
      <c r="J7">
        <v>1.1000000000000001</v>
      </c>
    </row>
    <row r="8" spans="1:10" x14ac:dyDescent="0.25">
      <c r="A8" t="s">
        <v>82</v>
      </c>
      <c r="B8" t="s">
        <v>18</v>
      </c>
      <c r="C8">
        <v>4</v>
      </c>
      <c r="D8">
        <v>1</v>
      </c>
      <c r="E8" t="s">
        <v>9</v>
      </c>
      <c r="F8" t="s">
        <v>18</v>
      </c>
      <c r="G8">
        <v>3399</v>
      </c>
      <c r="H8">
        <v>50</v>
      </c>
      <c r="I8">
        <v>3.75</v>
      </c>
      <c r="J8">
        <v>1.1000000000000001</v>
      </c>
    </row>
    <row r="9" spans="1:10" x14ac:dyDescent="0.25">
      <c r="A9" t="s">
        <v>82</v>
      </c>
      <c r="B9" t="s">
        <v>35</v>
      </c>
      <c r="C9">
        <v>1</v>
      </c>
      <c r="D9">
        <v>0</v>
      </c>
      <c r="E9" t="s">
        <v>39</v>
      </c>
      <c r="F9" t="s">
        <v>36</v>
      </c>
      <c r="G9">
        <v>2920</v>
      </c>
      <c r="H9">
        <v>10</v>
      </c>
      <c r="I9">
        <v>1.2</v>
      </c>
      <c r="J9">
        <v>0.25</v>
      </c>
    </row>
    <row r="10" spans="1:10" x14ac:dyDescent="0.25">
      <c r="A10" t="s">
        <v>82</v>
      </c>
      <c r="B10" t="s">
        <v>12</v>
      </c>
      <c r="C10">
        <v>2</v>
      </c>
      <c r="D10">
        <v>1</v>
      </c>
      <c r="E10" t="s">
        <v>24</v>
      </c>
      <c r="F10" t="s">
        <v>13</v>
      </c>
      <c r="G10">
        <v>150</v>
      </c>
      <c r="H10">
        <v>3259</v>
      </c>
      <c r="I10">
        <v>2.0499999999999998</v>
      </c>
      <c r="J10">
        <v>1.1000000000000001</v>
      </c>
    </row>
    <row r="11" spans="1:10" x14ac:dyDescent="0.25">
      <c r="A11" t="s">
        <v>83</v>
      </c>
      <c r="B11" t="s">
        <v>9</v>
      </c>
      <c r="C11">
        <v>3</v>
      </c>
      <c r="D11">
        <v>1</v>
      </c>
      <c r="E11" t="s">
        <v>35</v>
      </c>
      <c r="F11" t="s">
        <v>10</v>
      </c>
      <c r="G11">
        <v>50</v>
      </c>
      <c r="H11">
        <v>2920</v>
      </c>
      <c r="I11">
        <v>2.9</v>
      </c>
      <c r="J11">
        <v>1.1000000000000001</v>
      </c>
    </row>
    <row r="12" spans="1:10" x14ac:dyDescent="0.25">
      <c r="A12" t="s">
        <v>83</v>
      </c>
      <c r="B12" t="s">
        <v>43</v>
      </c>
      <c r="C12">
        <v>2</v>
      </c>
      <c r="D12">
        <v>1</v>
      </c>
      <c r="E12" t="s">
        <v>18</v>
      </c>
      <c r="F12" t="s">
        <v>13</v>
      </c>
      <c r="G12">
        <v>150</v>
      </c>
      <c r="H12">
        <v>3399</v>
      </c>
      <c r="I12">
        <v>2.0499999999999998</v>
      </c>
      <c r="J12">
        <v>1.1000000000000001</v>
      </c>
    </row>
    <row r="13" spans="1:10" x14ac:dyDescent="0.25">
      <c r="A13" t="s">
        <v>83</v>
      </c>
      <c r="B13" t="s">
        <v>39</v>
      </c>
      <c r="C13">
        <v>2</v>
      </c>
      <c r="D13">
        <v>0</v>
      </c>
      <c r="E13" t="s">
        <v>5</v>
      </c>
      <c r="F13" t="s">
        <v>40</v>
      </c>
      <c r="G13">
        <v>10</v>
      </c>
      <c r="H13">
        <v>3050</v>
      </c>
      <c r="I13">
        <v>2.0499999999999998</v>
      </c>
      <c r="J13">
        <v>0.25</v>
      </c>
    </row>
    <row r="14" spans="1:10" x14ac:dyDescent="0.25">
      <c r="A14" t="s">
        <v>83</v>
      </c>
      <c r="B14" t="s">
        <v>24</v>
      </c>
      <c r="C14">
        <v>2</v>
      </c>
      <c r="D14">
        <v>0</v>
      </c>
      <c r="E14" t="s">
        <v>15</v>
      </c>
      <c r="F14" t="s">
        <v>25</v>
      </c>
      <c r="G14">
        <v>3259</v>
      </c>
      <c r="H14">
        <v>50</v>
      </c>
      <c r="I14">
        <v>2.0499999999999998</v>
      </c>
      <c r="J14">
        <v>0.25</v>
      </c>
    </row>
    <row r="15" spans="1:10" x14ac:dyDescent="0.25">
      <c r="A15" t="s">
        <v>83</v>
      </c>
      <c r="B15" t="s">
        <v>32</v>
      </c>
      <c r="C15">
        <v>2</v>
      </c>
      <c r="D15">
        <v>0</v>
      </c>
      <c r="E15" t="s">
        <v>17</v>
      </c>
      <c r="F15" t="s">
        <v>33</v>
      </c>
      <c r="G15">
        <v>150</v>
      </c>
      <c r="H15">
        <v>3399</v>
      </c>
      <c r="I15">
        <v>2.0499999999999998</v>
      </c>
      <c r="J15">
        <v>0.25</v>
      </c>
    </row>
    <row r="16" spans="1:10" x14ac:dyDescent="0.25">
      <c r="A16" t="s">
        <v>83</v>
      </c>
      <c r="B16" t="s">
        <v>37</v>
      </c>
      <c r="C16">
        <v>2</v>
      </c>
      <c r="D16">
        <v>1</v>
      </c>
      <c r="E16" t="s">
        <v>42</v>
      </c>
      <c r="F16" t="s">
        <v>38</v>
      </c>
      <c r="G16">
        <v>2335</v>
      </c>
      <c r="H16">
        <v>150</v>
      </c>
      <c r="I16">
        <v>2.0499999999999998</v>
      </c>
      <c r="J16">
        <v>1.1000000000000001</v>
      </c>
    </row>
    <row r="17" spans="1:10" x14ac:dyDescent="0.25">
      <c r="A17" t="s">
        <v>83</v>
      </c>
      <c r="B17" t="s">
        <v>44</v>
      </c>
      <c r="C17">
        <v>0</v>
      </c>
      <c r="D17">
        <v>0</v>
      </c>
      <c r="E17" t="s">
        <v>27</v>
      </c>
      <c r="F17" t="s">
        <v>31</v>
      </c>
      <c r="G17">
        <v>2750</v>
      </c>
      <c r="H17">
        <v>1410</v>
      </c>
      <c r="I17">
        <v>0.35</v>
      </c>
      <c r="J17">
        <v>0.25</v>
      </c>
    </row>
    <row r="18" spans="1:10" x14ac:dyDescent="0.25">
      <c r="A18" t="s">
        <v>83</v>
      </c>
      <c r="B18" t="s">
        <v>19</v>
      </c>
      <c r="C18">
        <v>2</v>
      </c>
      <c r="D18">
        <v>2</v>
      </c>
      <c r="E18" t="s">
        <v>12</v>
      </c>
      <c r="F18" t="s">
        <v>20</v>
      </c>
      <c r="G18">
        <v>2620</v>
      </c>
      <c r="H18">
        <v>150</v>
      </c>
      <c r="I18">
        <v>2.0499999999999998</v>
      </c>
      <c r="J18">
        <v>1.95</v>
      </c>
    </row>
    <row r="19" spans="1:10" x14ac:dyDescent="0.25">
      <c r="A19" t="s">
        <v>83</v>
      </c>
      <c r="B19" t="s">
        <v>26</v>
      </c>
      <c r="C19">
        <v>2</v>
      </c>
      <c r="D19">
        <v>1</v>
      </c>
      <c r="E19" t="s">
        <v>30</v>
      </c>
      <c r="F19" t="s">
        <v>18</v>
      </c>
      <c r="G19">
        <v>3399</v>
      </c>
      <c r="H19">
        <v>2750</v>
      </c>
      <c r="I19">
        <v>2.0499999999999998</v>
      </c>
      <c r="J19">
        <v>1.1000000000000001</v>
      </c>
    </row>
    <row r="20" spans="1:10" x14ac:dyDescent="0.25">
      <c r="A20" t="s">
        <v>84</v>
      </c>
      <c r="B20" t="s">
        <v>35</v>
      </c>
      <c r="C20">
        <v>3</v>
      </c>
      <c r="D20">
        <v>2</v>
      </c>
      <c r="E20" t="s">
        <v>19</v>
      </c>
      <c r="F20" t="s">
        <v>36</v>
      </c>
      <c r="G20">
        <v>2920</v>
      </c>
      <c r="H20">
        <v>2620</v>
      </c>
      <c r="I20">
        <v>2.9</v>
      </c>
      <c r="J20">
        <v>1.95</v>
      </c>
    </row>
    <row r="21" spans="1:10" x14ac:dyDescent="0.25">
      <c r="A21" t="s">
        <v>84</v>
      </c>
      <c r="B21" t="s">
        <v>30</v>
      </c>
      <c r="C21">
        <v>0</v>
      </c>
      <c r="D21">
        <v>2</v>
      </c>
      <c r="E21" t="s">
        <v>24</v>
      </c>
      <c r="F21" t="s">
        <v>31</v>
      </c>
      <c r="G21">
        <v>2750</v>
      </c>
      <c r="H21">
        <v>3259</v>
      </c>
      <c r="I21">
        <v>0.35</v>
      </c>
      <c r="J21">
        <v>1.95</v>
      </c>
    </row>
    <row r="22" spans="1:10" x14ac:dyDescent="0.25">
      <c r="A22" t="s">
        <v>84</v>
      </c>
      <c r="B22" t="s">
        <v>15</v>
      </c>
      <c r="C22">
        <v>0</v>
      </c>
      <c r="D22">
        <v>1</v>
      </c>
      <c r="E22" t="s">
        <v>39</v>
      </c>
      <c r="F22" t="s">
        <v>10</v>
      </c>
      <c r="G22">
        <v>50</v>
      </c>
      <c r="H22">
        <v>10</v>
      </c>
      <c r="I22">
        <v>0.35</v>
      </c>
      <c r="J22">
        <v>1.1000000000000001</v>
      </c>
    </row>
    <row r="23" spans="1:10" x14ac:dyDescent="0.25">
      <c r="A23" t="s">
        <v>84</v>
      </c>
      <c r="B23" t="s">
        <v>18</v>
      </c>
      <c r="C23">
        <v>4</v>
      </c>
      <c r="D23">
        <v>1</v>
      </c>
      <c r="E23" t="s">
        <v>44</v>
      </c>
      <c r="F23" t="s">
        <v>18</v>
      </c>
      <c r="G23">
        <v>3399</v>
      </c>
      <c r="H23">
        <v>2750</v>
      </c>
      <c r="I23">
        <v>3.75</v>
      </c>
      <c r="J23">
        <v>1.1000000000000001</v>
      </c>
    </row>
    <row r="24" spans="1:10" x14ac:dyDescent="0.25">
      <c r="A24" t="s">
        <v>84</v>
      </c>
      <c r="B24" t="s">
        <v>12</v>
      </c>
      <c r="C24">
        <v>3</v>
      </c>
      <c r="D24">
        <v>1</v>
      </c>
      <c r="E24" t="s">
        <v>9</v>
      </c>
      <c r="F24" t="s">
        <v>13</v>
      </c>
      <c r="G24">
        <v>150</v>
      </c>
      <c r="H24">
        <v>50</v>
      </c>
      <c r="I24">
        <v>2.9</v>
      </c>
      <c r="J24">
        <v>1.1000000000000001</v>
      </c>
    </row>
    <row r="25" spans="1:10" x14ac:dyDescent="0.25">
      <c r="A25" t="s">
        <v>84</v>
      </c>
      <c r="B25" t="s">
        <v>42</v>
      </c>
      <c r="C25">
        <v>2</v>
      </c>
      <c r="D25">
        <v>0</v>
      </c>
      <c r="E25" t="s">
        <v>32</v>
      </c>
      <c r="F25" t="s">
        <v>13</v>
      </c>
      <c r="G25">
        <v>150</v>
      </c>
      <c r="H25">
        <v>150</v>
      </c>
      <c r="I25">
        <v>2.0499999999999998</v>
      </c>
      <c r="J25">
        <v>0.25</v>
      </c>
    </row>
    <row r="26" spans="1:10" x14ac:dyDescent="0.25">
      <c r="A26" t="s">
        <v>84</v>
      </c>
      <c r="B26" t="s">
        <v>5</v>
      </c>
      <c r="C26">
        <v>0</v>
      </c>
      <c r="D26">
        <v>1</v>
      </c>
      <c r="E26" t="s">
        <v>26</v>
      </c>
      <c r="F26" t="s">
        <v>6</v>
      </c>
      <c r="G26">
        <v>3050</v>
      </c>
      <c r="H26">
        <v>3399</v>
      </c>
      <c r="I26">
        <v>0.35</v>
      </c>
      <c r="J26">
        <v>1.1000000000000001</v>
      </c>
    </row>
    <row r="27" spans="1:10" x14ac:dyDescent="0.25">
      <c r="A27" t="s">
        <v>84</v>
      </c>
      <c r="B27" t="s">
        <v>27</v>
      </c>
      <c r="C27">
        <v>0</v>
      </c>
      <c r="D27">
        <v>0</v>
      </c>
      <c r="E27" t="s">
        <v>37</v>
      </c>
      <c r="F27" t="s">
        <v>28</v>
      </c>
      <c r="G27">
        <v>1410</v>
      </c>
      <c r="H27">
        <v>2335</v>
      </c>
      <c r="I27">
        <v>0.35</v>
      </c>
      <c r="J27">
        <v>0.25</v>
      </c>
    </row>
    <row r="28" spans="1:10" x14ac:dyDescent="0.25">
      <c r="A28" t="s">
        <v>84</v>
      </c>
      <c r="B28" t="s">
        <v>17</v>
      </c>
      <c r="C28">
        <v>2</v>
      </c>
      <c r="D28">
        <v>0</v>
      </c>
      <c r="E28" t="s">
        <v>43</v>
      </c>
      <c r="F28" t="s">
        <v>18</v>
      </c>
      <c r="G28">
        <v>3399</v>
      </c>
      <c r="H28">
        <v>150</v>
      </c>
      <c r="I28">
        <v>2.0499999999999998</v>
      </c>
      <c r="J28">
        <v>0.25</v>
      </c>
    </row>
    <row r="29" spans="1:10" x14ac:dyDescent="0.25">
      <c r="A29" t="s">
        <v>85</v>
      </c>
      <c r="B29" t="s">
        <v>9</v>
      </c>
      <c r="C29">
        <v>1</v>
      </c>
      <c r="D29">
        <v>0</v>
      </c>
      <c r="E29" t="s">
        <v>17</v>
      </c>
      <c r="F29" t="s">
        <v>10</v>
      </c>
      <c r="G29">
        <v>50</v>
      </c>
      <c r="H29">
        <v>3399</v>
      </c>
      <c r="I29">
        <v>1.2</v>
      </c>
      <c r="J29">
        <v>0.25</v>
      </c>
    </row>
    <row r="30" spans="1:10" x14ac:dyDescent="0.25">
      <c r="A30" t="s">
        <v>85</v>
      </c>
      <c r="B30" t="s">
        <v>24</v>
      </c>
      <c r="C30">
        <v>1</v>
      </c>
      <c r="D30">
        <v>1</v>
      </c>
      <c r="E30" t="s">
        <v>35</v>
      </c>
      <c r="F30" t="s">
        <v>25</v>
      </c>
      <c r="G30">
        <v>3259</v>
      </c>
      <c r="H30">
        <v>2920</v>
      </c>
      <c r="I30">
        <v>1.2</v>
      </c>
      <c r="J30">
        <v>1.1000000000000001</v>
      </c>
    </row>
    <row r="31" spans="1:10" x14ac:dyDescent="0.25">
      <c r="A31" t="s">
        <v>85</v>
      </c>
      <c r="B31" t="s">
        <v>19</v>
      </c>
      <c r="C31">
        <v>3</v>
      </c>
      <c r="D31">
        <v>1</v>
      </c>
      <c r="E31" t="s">
        <v>18</v>
      </c>
      <c r="F31" t="s">
        <v>20</v>
      </c>
      <c r="G31">
        <v>2620</v>
      </c>
      <c r="H31">
        <v>3399</v>
      </c>
      <c r="I31">
        <v>2.9</v>
      </c>
      <c r="J31">
        <v>1.1000000000000001</v>
      </c>
    </row>
    <row r="32" spans="1:10" x14ac:dyDescent="0.25">
      <c r="A32" t="s">
        <v>85</v>
      </c>
      <c r="B32" t="s">
        <v>43</v>
      </c>
      <c r="C32">
        <v>1</v>
      </c>
      <c r="D32">
        <v>1</v>
      </c>
      <c r="E32" t="s">
        <v>42</v>
      </c>
      <c r="F32" t="s">
        <v>13</v>
      </c>
      <c r="G32">
        <v>150</v>
      </c>
      <c r="H32">
        <v>150</v>
      </c>
      <c r="I32">
        <v>1.2</v>
      </c>
      <c r="J32">
        <v>1.1000000000000001</v>
      </c>
    </row>
    <row r="33" spans="1:10" x14ac:dyDescent="0.25">
      <c r="A33" t="s">
        <v>85</v>
      </c>
      <c r="B33" t="s">
        <v>44</v>
      </c>
      <c r="C33">
        <v>1</v>
      </c>
      <c r="D33">
        <v>1</v>
      </c>
      <c r="E33" t="s">
        <v>5</v>
      </c>
      <c r="F33" t="s">
        <v>31</v>
      </c>
      <c r="G33">
        <v>2750</v>
      </c>
      <c r="H33">
        <v>3050</v>
      </c>
      <c r="I33">
        <v>1.2</v>
      </c>
      <c r="J33">
        <v>1.1000000000000001</v>
      </c>
    </row>
    <row r="34" spans="1:10" x14ac:dyDescent="0.25">
      <c r="A34" t="s">
        <v>85</v>
      </c>
      <c r="B34" t="s">
        <v>32</v>
      </c>
      <c r="C34">
        <v>0</v>
      </c>
      <c r="D34">
        <v>0</v>
      </c>
      <c r="E34" t="s">
        <v>15</v>
      </c>
      <c r="F34" t="s">
        <v>33</v>
      </c>
      <c r="G34">
        <v>150</v>
      </c>
      <c r="H34">
        <v>50</v>
      </c>
      <c r="I34">
        <v>0.35</v>
      </c>
      <c r="J34">
        <v>0.25</v>
      </c>
    </row>
    <row r="35" spans="1:10" x14ac:dyDescent="0.25">
      <c r="A35" t="s">
        <v>85</v>
      </c>
      <c r="B35" t="s">
        <v>39</v>
      </c>
      <c r="C35">
        <v>1</v>
      </c>
      <c r="D35">
        <v>1</v>
      </c>
      <c r="E35" t="s">
        <v>12</v>
      </c>
      <c r="F35" t="s">
        <v>40</v>
      </c>
      <c r="G35">
        <v>10</v>
      </c>
      <c r="H35">
        <v>150</v>
      </c>
      <c r="I35">
        <v>1.2</v>
      </c>
      <c r="J35">
        <v>1.1000000000000001</v>
      </c>
    </row>
    <row r="36" spans="1:10" x14ac:dyDescent="0.25">
      <c r="A36" t="s">
        <v>85</v>
      </c>
      <c r="B36" t="s">
        <v>26</v>
      </c>
      <c r="C36">
        <v>2</v>
      </c>
      <c r="D36">
        <v>0</v>
      </c>
      <c r="E36" t="s">
        <v>27</v>
      </c>
      <c r="F36" t="s">
        <v>18</v>
      </c>
      <c r="G36">
        <v>3399</v>
      </c>
      <c r="H36">
        <v>1410</v>
      </c>
      <c r="I36">
        <v>2.0499999999999998</v>
      </c>
      <c r="J36">
        <v>0.25</v>
      </c>
    </row>
    <row r="37" spans="1:10" x14ac:dyDescent="0.25">
      <c r="A37" t="s">
        <v>85</v>
      </c>
      <c r="B37" t="s">
        <v>37</v>
      </c>
      <c r="C37">
        <v>2</v>
      </c>
      <c r="D37">
        <v>4</v>
      </c>
      <c r="E37" t="s">
        <v>30</v>
      </c>
      <c r="F37" t="s">
        <v>38</v>
      </c>
      <c r="G37">
        <v>2335</v>
      </c>
      <c r="H37">
        <v>2750</v>
      </c>
      <c r="I37">
        <v>2.0499999999999998</v>
      </c>
      <c r="J37">
        <v>3.65</v>
      </c>
    </row>
    <row r="38" spans="1:10" x14ac:dyDescent="0.25">
      <c r="A38" t="s">
        <v>86</v>
      </c>
      <c r="B38" t="s">
        <v>15</v>
      </c>
      <c r="C38">
        <v>1</v>
      </c>
      <c r="D38">
        <v>0</v>
      </c>
      <c r="E38" t="s">
        <v>19</v>
      </c>
      <c r="F38" t="s">
        <v>10</v>
      </c>
      <c r="G38">
        <v>50</v>
      </c>
      <c r="H38">
        <v>2620</v>
      </c>
      <c r="I38">
        <v>1.2</v>
      </c>
      <c r="J38">
        <v>0.25</v>
      </c>
    </row>
    <row r="39" spans="1:10" x14ac:dyDescent="0.25">
      <c r="A39" t="s">
        <v>86</v>
      </c>
      <c r="B39" t="s">
        <v>18</v>
      </c>
      <c r="C39">
        <v>2</v>
      </c>
      <c r="D39">
        <v>0</v>
      </c>
      <c r="E39" t="s">
        <v>32</v>
      </c>
      <c r="F39" t="s">
        <v>18</v>
      </c>
      <c r="G39">
        <v>3399</v>
      </c>
      <c r="H39">
        <v>150</v>
      </c>
      <c r="I39">
        <v>2.0499999999999998</v>
      </c>
      <c r="J39">
        <v>0.25</v>
      </c>
    </row>
    <row r="40" spans="1:10" x14ac:dyDescent="0.25">
      <c r="A40" t="s">
        <v>86</v>
      </c>
      <c r="B40" t="s">
        <v>5</v>
      </c>
      <c r="C40">
        <v>1</v>
      </c>
      <c r="D40">
        <v>1</v>
      </c>
      <c r="E40" t="s">
        <v>9</v>
      </c>
      <c r="F40" t="s">
        <v>6</v>
      </c>
      <c r="G40">
        <v>3050</v>
      </c>
      <c r="H40">
        <v>50</v>
      </c>
      <c r="I40">
        <v>1.2</v>
      </c>
      <c r="J40">
        <v>1.1000000000000001</v>
      </c>
    </row>
    <row r="41" spans="1:10" x14ac:dyDescent="0.25">
      <c r="A41" t="s">
        <v>86</v>
      </c>
      <c r="B41" t="s">
        <v>35</v>
      </c>
      <c r="C41">
        <v>0</v>
      </c>
      <c r="D41">
        <v>3</v>
      </c>
      <c r="E41" t="s">
        <v>37</v>
      </c>
      <c r="F41" t="s">
        <v>36</v>
      </c>
      <c r="G41">
        <v>2920</v>
      </c>
      <c r="H41">
        <v>2335</v>
      </c>
      <c r="I41">
        <v>0.35</v>
      </c>
      <c r="J41">
        <v>2.8</v>
      </c>
    </row>
    <row r="42" spans="1:10" x14ac:dyDescent="0.25">
      <c r="A42" t="s">
        <v>86</v>
      </c>
      <c r="B42" t="s">
        <v>12</v>
      </c>
      <c r="C42">
        <v>1</v>
      </c>
      <c r="D42">
        <v>0</v>
      </c>
      <c r="E42" t="s">
        <v>44</v>
      </c>
      <c r="F42" t="s">
        <v>13</v>
      </c>
      <c r="G42">
        <v>150</v>
      </c>
      <c r="H42">
        <v>2750</v>
      </c>
      <c r="I42">
        <v>1.2</v>
      </c>
      <c r="J42">
        <v>0.25</v>
      </c>
    </row>
    <row r="43" spans="1:10" x14ac:dyDescent="0.25">
      <c r="A43" t="s">
        <v>86</v>
      </c>
      <c r="B43" t="s">
        <v>42</v>
      </c>
      <c r="C43">
        <v>4</v>
      </c>
      <c r="D43">
        <v>1</v>
      </c>
      <c r="E43" t="s">
        <v>24</v>
      </c>
      <c r="F43" t="s">
        <v>13</v>
      </c>
      <c r="G43">
        <v>150</v>
      </c>
      <c r="H43">
        <v>3259</v>
      </c>
      <c r="I43">
        <v>3.75</v>
      </c>
      <c r="J43">
        <v>1.1000000000000001</v>
      </c>
    </row>
    <row r="44" spans="1:10" x14ac:dyDescent="0.25">
      <c r="A44" t="s">
        <v>86</v>
      </c>
      <c r="B44" t="s">
        <v>27</v>
      </c>
      <c r="C44">
        <v>1</v>
      </c>
      <c r="D44">
        <v>1</v>
      </c>
      <c r="E44" t="s">
        <v>39</v>
      </c>
      <c r="F44" t="s">
        <v>28</v>
      </c>
      <c r="G44">
        <v>1410</v>
      </c>
      <c r="H44">
        <v>10</v>
      </c>
      <c r="I44">
        <v>1.2</v>
      </c>
      <c r="J44">
        <v>1.1000000000000001</v>
      </c>
    </row>
    <row r="45" spans="1:10" x14ac:dyDescent="0.25">
      <c r="A45" t="s">
        <v>86</v>
      </c>
      <c r="B45" t="s">
        <v>30</v>
      </c>
      <c r="C45">
        <v>2</v>
      </c>
      <c r="D45">
        <v>3</v>
      </c>
      <c r="E45" t="s">
        <v>43</v>
      </c>
      <c r="F45" t="s">
        <v>31</v>
      </c>
      <c r="G45">
        <v>2750</v>
      </c>
      <c r="H45">
        <v>150</v>
      </c>
      <c r="I45">
        <v>2.0499999999999998</v>
      </c>
      <c r="J45">
        <v>2.8</v>
      </c>
    </row>
    <row r="46" spans="1:10" x14ac:dyDescent="0.25">
      <c r="A46" t="s">
        <v>86</v>
      </c>
      <c r="B46" t="s">
        <v>17</v>
      </c>
      <c r="C46">
        <v>0</v>
      </c>
      <c r="D46">
        <v>0</v>
      </c>
      <c r="E46" t="s">
        <v>26</v>
      </c>
      <c r="F46" t="s">
        <v>18</v>
      </c>
      <c r="G46">
        <v>3399</v>
      </c>
      <c r="H46">
        <v>3399</v>
      </c>
      <c r="I46">
        <v>0.35</v>
      </c>
      <c r="J46">
        <v>0.25</v>
      </c>
    </row>
    <row r="47" spans="1:10" x14ac:dyDescent="0.25">
      <c r="A47" t="s">
        <v>87</v>
      </c>
      <c r="B47" t="s">
        <v>30</v>
      </c>
      <c r="C47">
        <v>1</v>
      </c>
      <c r="D47">
        <v>3</v>
      </c>
      <c r="E47" t="s">
        <v>15</v>
      </c>
      <c r="F47" t="s">
        <v>31</v>
      </c>
      <c r="G47">
        <v>2750</v>
      </c>
      <c r="H47">
        <v>50</v>
      </c>
      <c r="I47">
        <v>1.2</v>
      </c>
      <c r="J47">
        <v>2.8</v>
      </c>
    </row>
    <row r="48" spans="1:10" x14ac:dyDescent="0.25">
      <c r="A48" t="s">
        <v>87</v>
      </c>
      <c r="B48" t="s">
        <v>9</v>
      </c>
      <c r="C48">
        <v>3</v>
      </c>
      <c r="D48">
        <v>1</v>
      </c>
      <c r="E48" t="s">
        <v>42</v>
      </c>
      <c r="F48" t="s">
        <v>10</v>
      </c>
      <c r="G48">
        <v>50</v>
      </c>
      <c r="H48">
        <v>150</v>
      </c>
      <c r="I48">
        <v>2.9</v>
      </c>
      <c r="J48">
        <v>1.1000000000000001</v>
      </c>
    </row>
    <row r="49" spans="1:10" x14ac:dyDescent="0.25">
      <c r="A49" t="s">
        <v>87</v>
      </c>
      <c r="B49" t="s">
        <v>24</v>
      </c>
      <c r="C49">
        <v>0</v>
      </c>
      <c r="D49">
        <v>2</v>
      </c>
      <c r="E49" t="s">
        <v>27</v>
      </c>
      <c r="F49" t="s">
        <v>25</v>
      </c>
      <c r="G49">
        <v>3259</v>
      </c>
      <c r="H49">
        <v>1410</v>
      </c>
      <c r="I49">
        <v>0.35</v>
      </c>
      <c r="J49">
        <v>1.95</v>
      </c>
    </row>
    <row r="50" spans="1:10" x14ac:dyDescent="0.25">
      <c r="A50" t="s">
        <v>87</v>
      </c>
      <c r="B50" t="s">
        <v>44</v>
      </c>
      <c r="C50">
        <v>1</v>
      </c>
      <c r="D50">
        <v>3</v>
      </c>
      <c r="E50" t="s">
        <v>19</v>
      </c>
      <c r="F50" t="s">
        <v>31</v>
      </c>
      <c r="G50">
        <v>2750</v>
      </c>
      <c r="H50">
        <v>2620</v>
      </c>
      <c r="I50">
        <v>1.2</v>
      </c>
      <c r="J50">
        <v>2.8</v>
      </c>
    </row>
    <row r="51" spans="1:10" x14ac:dyDescent="0.25">
      <c r="A51" t="s">
        <v>87</v>
      </c>
      <c r="B51" t="s">
        <v>32</v>
      </c>
      <c r="C51">
        <v>5</v>
      </c>
      <c r="D51">
        <v>1</v>
      </c>
      <c r="E51" t="s">
        <v>5</v>
      </c>
      <c r="F51" t="s">
        <v>33</v>
      </c>
      <c r="G51">
        <v>150</v>
      </c>
      <c r="H51">
        <v>3050</v>
      </c>
      <c r="I51">
        <v>4.5999999999999996</v>
      </c>
      <c r="J51">
        <v>1.1000000000000001</v>
      </c>
    </row>
    <row r="52" spans="1:10" x14ac:dyDescent="0.25">
      <c r="A52" t="s">
        <v>87</v>
      </c>
      <c r="B52" t="s">
        <v>26</v>
      </c>
      <c r="C52">
        <v>4</v>
      </c>
      <c r="D52">
        <v>1</v>
      </c>
      <c r="E52" t="s">
        <v>18</v>
      </c>
      <c r="F52" t="s">
        <v>18</v>
      </c>
      <c r="G52">
        <v>3399</v>
      </c>
      <c r="H52">
        <v>3399</v>
      </c>
      <c r="I52">
        <v>3.75</v>
      </c>
      <c r="J52">
        <v>1.1000000000000001</v>
      </c>
    </row>
    <row r="53" spans="1:10" x14ac:dyDescent="0.25">
      <c r="A53" t="s">
        <v>87</v>
      </c>
      <c r="B53" t="s">
        <v>39</v>
      </c>
      <c r="C53">
        <v>5</v>
      </c>
      <c r="D53">
        <v>1</v>
      </c>
      <c r="E53" t="s">
        <v>17</v>
      </c>
      <c r="F53" t="s">
        <v>40</v>
      </c>
      <c r="G53">
        <v>10</v>
      </c>
      <c r="H53">
        <v>3399</v>
      </c>
      <c r="I53">
        <v>4.5999999999999996</v>
      </c>
      <c r="J53">
        <v>1.1000000000000001</v>
      </c>
    </row>
    <row r="54" spans="1:10" x14ac:dyDescent="0.25">
      <c r="A54" t="s">
        <v>87</v>
      </c>
      <c r="B54" t="s">
        <v>37</v>
      </c>
      <c r="C54">
        <v>1</v>
      </c>
      <c r="D54">
        <v>1</v>
      </c>
      <c r="E54" t="s">
        <v>12</v>
      </c>
      <c r="F54" t="s">
        <v>38</v>
      </c>
      <c r="G54">
        <v>2335</v>
      </c>
      <c r="H54">
        <v>150</v>
      </c>
      <c r="I54">
        <v>1.2</v>
      </c>
      <c r="J54">
        <v>1.1000000000000001</v>
      </c>
    </row>
    <row r="55" spans="1:10" x14ac:dyDescent="0.25">
      <c r="A55" t="s">
        <v>87</v>
      </c>
      <c r="B55" t="s">
        <v>43</v>
      </c>
      <c r="C55">
        <v>3</v>
      </c>
      <c r="D55">
        <v>0</v>
      </c>
      <c r="E55" t="s">
        <v>35</v>
      </c>
      <c r="F55" t="s">
        <v>13</v>
      </c>
      <c r="G55">
        <v>150</v>
      </c>
      <c r="H55">
        <v>2920</v>
      </c>
      <c r="I55">
        <v>2.9</v>
      </c>
      <c r="J55">
        <v>0.25</v>
      </c>
    </row>
    <row r="56" spans="1:10" x14ac:dyDescent="0.25">
      <c r="A56" t="s">
        <v>88</v>
      </c>
      <c r="B56" t="s">
        <v>19</v>
      </c>
      <c r="C56">
        <v>2</v>
      </c>
      <c r="D56">
        <v>3</v>
      </c>
      <c r="E56" t="s">
        <v>30</v>
      </c>
      <c r="F56" t="s">
        <v>20</v>
      </c>
      <c r="G56">
        <v>2620</v>
      </c>
      <c r="H56">
        <v>2750</v>
      </c>
      <c r="I56">
        <v>2.0499999999999998</v>
      </c>
      <c r="J56">
        <v>2.8</v>
      </c>
    </row>
    <row r="57" spans="1:10" x14ac:dyDescent="0.25">
      <c r="A57" t="s">
        <v>88</v>
      </c>
      <c r="B57" t="s">
        <v>35</v>
      </c>
      <c r="C57">
        <v>3</v>
      </c>
      <c r="D57">
        <v>4</v>
      </c>
      <c r="E57" t="s">
        <v>32</v>
      </c>
      <c r="F57" t="s">
        <v>36</v>
      </c>
      <c r="G57">
        <v>2920</v>
      </c>
      <c r="H57">
        <v>150</v>
      </c>
      <c r="I57">
        <v>2.9</v>
      </c>
      <c r="J57">
        <v>3.65</v>
      </c>
    </row>
    <row r="58" spans="1:10" x14ac:dyDescent="0.25">
      <c r="A58" t="s">
        <v>88</v>
      </c>
      <c r="B58" t="s">
        <v>44</v>
      </c>
      <c r="C58">
        <v>2</v>
      </c>
      <c r="D58">
        <v>4</v>
      </c>
      <c r="E58" t="s">
        <v>43</v>
      </c>
      <c r="F58" t="s">
        <v>31</v>
      </c>
      <c r="G58">
        <v>2750</v>
      </c>
      <c r="H58">
        <v>150</v>
      </c>
      <c r="I58">
        <v>2.0499999999999998</v>
      </c>
      <c r="J58">
        <v>3.65</v>
      </c>
    </row>
    <row r="59" spans="1:10" x14ac:dyDescent="0.25">
      <c r="A59" t="s">
        <v>88</v>
      </c>
      <c r="B59" t="s">
        <v>12</v>
      </c>
      <c r="C59">
        <v>0</v>
      </c>
      <c r="D59">
        <v>1</v>
      </c>
      <c r="E59" t="s">
        <v>26</v>
      </c>
      <c r="F59" t="s">
        <v>13</v>
      </c>
      <c r="G59">
        <v>150</v>
      </c>
      <c r="H59">
        <v>3399</v>
      </c>
      <c r="I59">
        <v>0.35</v>
      </c>
      <c r="J59">
        <v>1.1000000000000001</v>
      </c>
    </row>
    <row r="60" spans="1:10" x14ac:dyDescent="0.25">
      <c r="A60" t="s">
        <v>88</v>
      </c>
      <c r="B60" t="s">
        <v>27</v>
      </c>
      <c r="C60">
        <v>1</v>
      </c>
      <c r="D60">
        <v>4</v>
      </c>
      <c r="E60" t="s">
        <v>9</v>
      </c>
      <c r="F60" t="s">
        <v>28</v>
      </c>
      <c r="G60">
        <v>1410</v>
      </c>
      <c r="H60">
        <v>50</v>
      </c>
      <c r="I60">
        <v>1.2</v>
      </c>
      <c r="J60">
        <v>3.65</v>
      </c>
    </row>
    <row r="61" spans="1:10" x14ac:dyDescent="0.25">
      <c r="A61" t="s">
        <v>88</v>
      </c>
      <c r="B61" t="s">
        <v>5</v>
      </c>
      <c r="C61">
        <v>1</v>
      </c>
      <c r="D61">
        <v>3</v>
      </c>
      <c r="E61" t="s">
        <v>24</v>
      </c>
      <c r="F61" t="s">
        <v>6</v>
      </c>
      <c r="G61">
        <v>3050</v>
      </c>
      <c r="H61">
        <v>3259</v>
      </c>
      <c r="I61">
        <v>1.2</v>
      </c>
      <c r="J61">
        <v>2.8</v>
      </c>
    </row>
    <row r="62" spans="1:10" x14ac:dyDescent="0.25">
      <c r="A62" t="s">
        <v>88</v>
      </c>
      <c r="B62" t="s">
        <v>39</v>
      </c>
      <c r="C62">
        <v>1</v>
      </c>
      <c r="D62">
        <v>0</v>
      </c>
      <c r="E62" t="s">
        <v>42</v>
      </c>
      <c r="F62" t="s">
        <v>40</v>
      </c>
      <c r="G62">
        <v>10</v>
      </c>
      <c r="H62">
        <v>150</v>
      </c>
      <c r="I62">
        <v>1.2</v>
      </c>
      <c r="J62">
        <v>0.25</v>
      </c>
    </row>
    <row r="63" spans="1:10" x14ac:dyDescent="0.25">
      <c r="A63" t="s">
        <v>88</v>
      </c>
      <c r="B63" t="s">
        <v>17</v>
      </c>
      <c r="C63">
        <v>1</v>
      </c>
      <c r="D63">
        <v>2</v>
      </c>
      <c r="E63" t="s">
        <v>18</v>
      </c>
      <c r="F63" t="s">
        <v>18</v>
      </c>
      <c r="G63">
        <v>3399</v>
      </c>
      <c r="H63">
        <v>3399</v>
      </c>
      <c r="I63">
        <v>1.2</v>
      </c>
      <c r="J63">
        <v>1.95</v>
      </c>
    </row>
    <row r="64" spans="1:10" x14ac:dyDescent="0.25">
      <c r="A64" t="s">
        <v>88</v>
      </c>
      <c r="B64" t="s">
        <v>15</v>
      </c>
      <c r="C64">
        <v>1</v>
      </c>
      <c r="D64">
        <v>0</v>
      </c>
      <c r="E64" t="s">
        <v>37</v>
      </c>
      <c r="F64" t="s">
        <v>10</v>
      </c>
      <c r="G64">
        <v>50</v>
      </c>
      <c r="H64">
        <v>2335</v>
      </c>
      <c r="I64">
        <v>1.2</v>
      </c>
      <c r="J64">
        <v>0.25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1F9D3-22DF-46CE-99BF-100B11587352}">
  <dimension ref="A1:J19"/>
  <sheetViews>
    <sheetView workbookViewId="0">
      <selection activeCell="I2" sqref="I2:I19"/>
    </sheetView>
  </sheetViews>
  <sheetFormatPr baseColWidth="10" defaultRowHeight="15" x14ac:dyDescent="0.25"/>
  <cols>
    <col min="1" max="1" width="4.140625" bestFit="1" customWidth="1"/>
    <col min="2" max="2" width="19.85546875" bestFit="1" customWidth="1"/>
    <col min="3" max="10" width="5.42578125" customWidth="1"/>
  </cols>
  <sheetData>
    <row r="1" spans="1:10" s="1" customFormat="1" x14ac:dyDescent="0.25">
      <c r="A1" s="1" t="s">
        <v>89</v>
      </c>
      <c r="B1" s="1" t="s">
        <v>90</v>
      </c>
      <c r="C1" s="1" t="s">
        <v>91</v>
      </c>
      <c r="D1" s="1" t="s">
        <v>92</v>
      </c>
      <c r="E1" s="1" t="s">
        <v>93</v>
      </c>
      <c r="F1" s="1" t="s">
        <v>94</v>
      </c>
      <c r="G1" s="1" t="s">
        <v>95</v>
      </c>
      <c r="H1" s="1" t="s">
        <v>96</v>
      </c>
      <c r="I1" s="1" t="s">
        <v>97</v>
      </c>
      <c r="J1" s="1" t="s">
        <v>98</v>
      </c>
    </row>
    <row r="2" spans="1:10" x14ac:dyDescent="0.25">
      <c r="A2">
        <v>1</v>
      </c>
      <c r="B2" t="s">
        <v>26</v>
      </c>
      <c r="C2">
        <v>7</v>
      </c>
      <c r="D2">
        <v>5</v>
      </c>
      <c r="E2">
        <v>1</v>
      </c>
      <c r="F2">
        <v>1</v>
      </c>
      <c r="G2">
        <v>10</v>
      </c>
      <c r="H2">
        <v>3</v>
      </c>
      <c r="I2">
        <f>G2-H2</f>
        <v>7</v>
      </c>
      <c r="J2">
        <v>16</v>
      </c>
    </row>
    <row r="3" spans="1:10" x14ac:dyDescent="0.25">
      <c r="A3">
        <v>2</v>
      </c>
      <c r="B3" t="s">
        <v>43</v>
      </c>
      <c r="C3">
        <v>7</v>
      </c>
      <c r="D3">
        <v>5</v>
      </c>
      <c r="E3">
        <v>1</v>
      </c>
      <c r="F3">
        <v>1</v>
      </c>
      <c r="G3">
        <v>15</v>
      </c>
      <c r="H3">
        <v>9</v>
      </c>
      <c r="I3">
        <f t="shared" ref="I3:I19" si="0">G3-H3</f>
        <v>6</v>
      </c>
      <c r="J3">
        <v>16</v>
      </c>
    </row>
    <row r="4" spans="1:10" x14ac:dyDescent="0.25">
      <c r="A4">
        <v>3</v>
      </c>
      <c r="B4" t="s">
        <v>39</v>
      </c>
      <c r="C4">
        <v>7</v>
      </c>
      <c r="D4">
        <v>4</v>
      </c>
      <c r="E4">
        <v>2</v>
      </c>
      <c r="F4">
        <v>1</v>
      </c>
      <c r="G4">
        <v>11</v>
      </c>
      <c r="H4">
        <v>4</v>
      </c>
      <c r="I4">
        <f t="shared" si="0"/>
        <v>7</v>
      </c>
      <c r="J4">
        <v>14</v>
      </c>
    </row>
    <row r="5" spans="1:10" x14ac:dyDescent="0.25">
      <c r="A5">
        <v>4</v>
      </c>
      <c r="B5" t="s">
        <v>9</v>
      </c>
      <c r="C5">
        <v>7</v>
      </c>
      <c r="D5">
        <v>4</v>
      </c>
      <c r="E5">
        <v>1</v>
      </c>
      <c r="F5">
        <v>2</v>
      </c>
      <c r="G5">
        <v>14</v>
      </c>
      <c r="H5">
        <v>11</v>
      </c>
      <c r="I5">
        <f t="shared" si="0"/>
        <v>3</v>
      </c>
      <c r="J5">
        <v>13</v>
      </c>
    </row>
    <row r="6" spans="1:10" x14ac:dyDescent="0.25">
      <c r="A6">
        <v>5</v>
      </c>
      <c r="B6" t="s">
        <v>15</v>
      </c>
      <c r="C6">
        <v>7</v>
      </c>
      <c r="D6">
        <v>4</v>
      </c>
      <c r="E6">
        <v>1</v>
      </c>
      <c r="F6">
        <v>2</v>
      </c>
      <c r="G6">
        <v>8</v>
      </c>
      <c r="H6">
        <v>5</v>
      </c>
      <c r="I6">
        <f t="shared" si="0"/>
        <v>3</v>
      </c>
      <c r="J6">
        <v>13</v>
      </c>
    </row>
    <row r="7" spans="1:10" x14ac:dyDescent="0.25">
      <c r="A7">
        <v>6</v>
      </c>
      <c r="B7" t="s">
        <v>23</v>
      </c>
      <c r="C7">
        <v>7</v>
      </c>
      <c r="D7">
        <v>4</v>
      </c>
      <c r="E7">
        <v>0</v>
      </c>
      <c r="F7">
        <v>3</v>
      </c>
      <c r="G7">
        <v>15</v>
      </c>
      <c r="H7">
        <v>12</v>
      </c>
      <c r="I7">
        <f t="shared" si="0"/>
        <v>3</v>
      </c>
      <c r="J7">
        <v>12</v>
      </c>
    </row>
    <row r="8" spans="1:10" x14ac:dyDescent="0.25">
      <c r="A8">
        <v>7</v>
      </c>
      <c r="B8" t="s">
        <v>12</v>
      </c>
      <c r="C8">
        <v>7</v>
      </c>
      <c r="D8">
        <v>3</v>
      </c>
      <c r="E8">
        <v>3</v>
      </c>
      <c r="F8">
        <v>1</v>
      </c>
      <c r="G8">
        <v>10</v>
      </c>
      <c r="H8">
        <v>7</v>
      </c>
      <c r="I8">
        <f t="shared" si="0"/>
        <v>3</v>
      </c>
      <c r="J8">
        <v>12</v>
      </c>
    </row>
    <row r="9" spans="1:10" x14ac:dyDescent="0.25">
      <c r="A9">
        <v>8</v>
      </c>
      <c r="B9" t="s">
        <v>32</v>
      </c>
      <c r="C9">
        <v>7</v>
      </c>
      <c r="D9">
        <v>3</v>
      </c>
      <c r="E9">
        <v>2</v>
      </c>
      <c r="F9">
        <v>2</v>
      </c>
      <c r="G9">
        <v>13</v>
      </c>
      <c r="H9">
        <v>10</v>
      </c>
      <c r="I9">
        <f t="shared" si="0"/>
        <v>3</v>
      </c>
      <c r="J9">
        <v>11</v>
      </c>
    </row>
    <row r="10" spans="1:10" x14ac:dyDescent="0.25">
      <c r="A10">
        <v>9</v>
      </c>
      <c r="B10" t="s">
        <v>37</v>
      </c>
      <c r="C10">
        <v>7</v>
      </c>
      <c r="D10">
        <v>3</v>
      </c>
      <c r="E10">
        <v>2</v>
      </c>
      <c r="F10">
        <v>2</v>
      </c>
      <c r="G10">
        <v>11</v>
      </c>
      <c r="H10">
        <v>8</v>
      </c>
      <c r="I10">
        <f t="shared" si="0"/>
        <v>3</v>
      </c>
      <c r="J10">
        <v>11</v>
      </c>
    </row>
    <row r="11" spans="1:10" x14ac:dyDescent="0.25">
      <c r="A11">
        <v>10</v>
      </c>
      <c r="B11" t="s">
        <v>42</v>
      </c>
      <c r="C11">
        <v>7</v>
      </c>
      <c r="D11">
        <v>3</v>
      </c>
      <c r="E11">
        <v>1</v>
      </c>
      <c r="F11">
        <v>3</v>
      </c>
      <c r="G11">
        <v>10</v>
      </c>
      <c r="H11">
        <v>8</v>
      </c>
      <c r="I11">
        <f t="shared" si="0"/>
        <v>2</v>
      </c>
      <c r="J11">
        <v>10</v>
      </c>
    </row>
    <row r="12" spans="1:10" x14ac:dyDescent="0.25">
      <c r="A12">
        <v>11</v>
      </c>
      <c r="B12" t="s">
        <v>24</v>
      </c>
      <c r="C12">
        <v>7</v>
      </c>
      <c r="D12">
        <v>3</v>
      </c>
      <c r="E12">
        <v>1</v>
      </c>
      <c r="F12">
        <v>3</v>
      </c>
      <c r="G12">
        <v>10</v>
      </c>
      <c r="H12">
        <v>10</v>
      </c>
      <c r="I12">
        <f t="shared" si="0"/>
        <v>0</v>
      </c>
      <c r="J12">
        <v>10</v>
      </c>
    </row>
    <row r="13" spans="1:10" x14ac:dyDescent="0.25">
      <c r="A13">
        <v>12</v>
      </c>
      <c r="B13" t="s">
        <v>19</v>
      </c>
      <c r="C13">
        <v>7</v>
      </c>
      <c r="D13">
        <v>2</v>
      </c>
      <c r="E13">
        <v>2</v>
      </c>
      <c r="F13">
        <v>3</v>
      </c>
      <c r="G13">
        <v>14</v>
      </c>
      <c r="H13">
        <v>13</v>
      </c>
      <c r="I13">
        <f t="shared" si="0"/>
        <v>1</v>
      </c>
      <c r="J13">
        <v>8</v>
      </c>
    </row>
    <row r="14" spans="1:10" x14ac:dyDescent="0.25">
      <c r="A14">
        <v>13</v>
      </c>
      <c r="B14" t="s">
        <v>30</v>
      </c>
      <c r="C14">
        <v>7</v>
      </c>
      <c r="D14">
        <v>2</v>
      </c>
      <c r="E14">
        <v>1</v>
      </c>
      <c r="F14">
        <v>4</v>
      </c>
      <c r="G14">
        <v>13</v>
      </c>
      <c r="H14">
        <v>16</v>
      </c>
      <c r="I14">
        <f t="shared" si="0"/>
        <v>-3</v>
      </c>
      <c r="J14">
        <v>7</v>
      </c>
    </row>
    <row r="15" spans="1:10" x14ac:dyDescent="0.25">
      <c r="A15">
        <v>14</v>
      </c>
      <c r="B15" t="s">
        <v>27</v>
      </c>
      <c r="C15">
        <v>7</v>
      </c>
      <c r="D15">
        <v>1</v>
      </c>
      <c r="E15">
        <v>4</v>
      </c>
      <c r="F15">
        <v>2</v>
      </c>
      <c r="G15">
        <v>6</v>
      </c>
      <c r="H15">
        <v>9</v>
      </c>
      <c r="I15">
        <f t="shared" si="0"/>
        <v>-3</v>
      </c>
      <c r="J15">
        <v>7</v>
      </c>
    </row>
    <row r="16" spans="1:10" x14ac:dyDescent="0.25">
      <c r="A16">
        <v>15</v>
      </c>
      <c r="B16" t="s">
        <v>66</v>
      </c>
      <c r="C16">
        <v>7</v>
      </c>
      <c r="D16">
        <v>2</v>
      </c>
      <c r="E16">
        <v>1</v>
      </c>
      <c r="F16">
        <v>4</v>
      </c>
      <c r="G16">
        <v>9</v>
      </c>
      <c r="H16">
        <v>16</v>
      </c>
      <c r="I16">
        <f t="shared" si="0"/>
        <v>-7</v>
      </c>
      <c r="J16">
        <v>7</v>
      </c>
    </row>
    <row r="17" spans="1:10" x14ac:dyDescent="0.25">
      <c r="A17">
        <v>16</v>
      </c>
      <c r="B17" t="s">
        <v>17</v>
      </c>
      <c r="C17">
        <v>7</v>
      </c>
      <c r="D17">
        <v>1</v>
      </c>
      <c r="E17">
        <v>1</v>
      </c>
      <c r="F17">
        <v>5</v>
      </c>
      <c r="G17">
        <v>5</v>
      </c>
      <c r="H17">
        <v>13</v>
      </c>
      <c r="I17">
        <f t="shared" si="0"/>
        <v>-8</v>
      </c>
      <c r="J17">
        <v>4</v>
      </c>
    </row>
    <row r="18" spans="1:10" x14ac:dyDescent="0.25">
      <c r="A18">
        <v>17</v>
      </c>
      <c r="B18" t="s">
        <v>44</v>
      </c>
      <c r="C18">
        <v>7</v>
      </c>
      <c r="D18">
        <v>0</v>
      </c>
      <c r="E18">
        <v>2</v>
      </c>
      <c r="F18">
        <v>5</v>
      </c>
      <c r="G18">
        <v>6</v>
      </c>
      <c r="H18">
        <v>16</v>
      </c>
      <c r="I18">
        <f t="shared" si="0"/>
        <v>-10</v>
      </c>
      <c r="J18">
        <v>2</v>
      </c>
    </row>
    <row r="19" spans="1:10" x14ac:dyDescent="0.25">
      <c r="A19">
        <v>18</v>
      </c>
      <c r="B19" t="s">
        <v>5</v>
      </c>
      <c r="C19">
        <v>7</v>
      </c>
      <c r="D19">
        <v>0</v>
      </c>
      <c r="E19">
        <v>2</v>
      </c>
      <c r="F19">
        <v>5</v>
      </c>
      <c r="G19">
        <v>5</v>
      </c>
      <c r="H19">
        <v>15</v>
      </c>
      <c r="I19">
        <f t="shared" si="0"/>
        <v>-10</v>
      </c>
      <c r="J19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D33D-0A6F-4B60-A14A-9A00748F11D4}">
  <dimension ref="A1:K19"/>
  <sheetViews>
    <sheetView workbookViewId="0">
      <selection activeCell="M14" sqref="M14"/>
    </sheetView>
  </sheetViews>
  <sheetFormatPr baseColWidth="10" defaultRowHeight="15" x14ac:dyDescent="0.25"/>
  <cols>
    <col min="1" max="1" width="6.42578125" bestFit="1" customWidth="1"/>
    <col min="2" max="2" width="19.85546875" bestFit="1" customWidth="1"/>
    <col min="3" max="10" width="5.5703125" customWidth="1"/>
    <col min="11" max="11" width="34" bestFit="1" customWidth="1"/>
  </cols>
  <sheetData>
    <row r="1" spans="1:11" s="1" customFormat="1" x14ac:dyDescent="0.25">
      <c r="A1" s="1" t="s">
        <v>99</v>
      </c>
      <c r="B1" s="1" t="s">
        <v>0</v>
      </c>
      <c r="C1" s="1" t="s">
        <v>91</v>
      </c>
      <c r="D1" s="1" t="s">
        <v>92</v>
      </c>
      <c r="E1" s="1" t="s">
        <v>93</v>
      </c>
      <c r="F1" s="1" t="s">
        <v>94</v>
      </c>
      <c r="G1" s="1" t="s">
        <v>95</v>
      </c>
      <c r="H1" s="1" t="s">
        <v>96</v>
      </c>
      <c r="I1" s="1" t="s">
        <v>97</v>
      </c>
      <c r="J1" s="1" t="s">
        <v>98</v>
      </c>
      <c r="K1" s="1" t="s">
        <v>100</v>
      </c>
    </row>
    <row r="2" spans="1:11" x14ac:dyDescent="0.25">
      <c r="A2">
        <v>1</v>
      </c>
      <c r="B2" t="s">
        <v>12</v>
      </c>
      <c r="C2">
        <v>24</v>
      </c>
      <c r="D2">
        <v>15</v>
      </c>
      <c r="E2">
        <v>7</v>
      </c>
      <c r="F2">
        <v>2</v>
      </c>
      <c r="G2">
        <v>40</v>
      </c>
      <c r="H2">
        <v>15</v>
      </c>
      <c r="I2">
        <v>25</v>
      </c>
      <c r="J2">
        <v>52</v>
      </c>
      <c r="K2" t="s">
        <v>101</v>
      </c>
    </row>
    <row r="3" spans="1:11" x14ac:dyDescent="0.25">
      <c r="A3">
        <v>2</v>
      </c>
      <c r="B3" t="s">
        <v>43</v>
      </c>
      <c r="C3">
        <v>24</v>
      </c>
      <c r="D3">
        <v>13</v>
      </c>
      <c r="E3">
        <v>6</v>
      </c>
      <c r="F3">
        <v>5</v>
      </c>
      <c r="G3">
        <v>39</v>
      </c>
      <c r="H3">
        <v>24</v>
      </c>
      <c r="I3">
        <v>15</v>
      </c>
      <c r="J3">
        <v>45</v>
      </c>
      <c r="K3" t="s">
        <v>101</v>
      </c>
    </row>
    <row r="4" spans="1:11" x14ac:dyDescent="0.25">
      <c r="A4">
        <v>3</v>
      </c>
      <c r="B4" t="s">
        <v>26</v>
      </c>
      <c r="C4">
        <v>24</v>
      </c>
      <c r="D4">
        <v>12</v>
      </c>
      <c r="E4">
        <v>6</v>
      </c>
      <c r="F4">
        <v>6</v>
      </c>
      <c r="G4">
        <v>31</v>
      </c>
      <c r="H4">
        <v>21</v>
      </c>
      <c r="I4">
        <v>10</v>
      </c>
      <c r="J4">
        <v>42</v>
      </c>
      <c r="K4" t="s">
        <v>102</v>
      </c>
    </row>
    <row r="5" spans="1:11" x14ac:dyDescent="0.25">
      <c r="A5">
        <v>4</v>
      </c>
      <c r="B5" t="s">
        <v>66</v>
      </c>
      <c r="C5">
        <v>24</v>
      </c>
      <c r="D5">
        <v>12</v>
      </c>
      <c r="E5">
        <v>5</v>
      </c>
      <c r="F5">
        <v>7</v>
      </c>
      <c r="G5">
        <v>34</v>
      </c>
      <c r="H5">
        <v>37</v>
      </c>
      <c r="I5">
        <v>-3</v>
      </c>
      <c r="J5">
        <v>41</v>
      </c>
      <c r="K5" t="s">
        <v>102</v>
      </c>
    </row>
    <row r="6" spans="1:11" x14ac:dyDescent="0.25">
      <c r="A6">
        <v>5</v>
      </c>
      <c r="B6" t="s">
        <v>37</v>
      </c>
      <c r="C6">
        <v>24</v>
      </c>
      <c r="D6">
        <v>11</v>
      </c>
      <c r="E6">
        <v>6</v>
      </c>
      <c r="F6">
        <v>7</v>
      </c>
      <c r="G6">
        <v>40</v>
      </c>
      <c r="H6">
        <v>28</v>
      </c>
      <c r="I6">
        <v>12</v>
      </c>
      <c r="J6">
        <v>39</v>
      </c>
      <c r="K6" t="s">
        <v>103</v>
      </c>
    </row>
    <row r="7" spans="1:11" x14ac:dyDescent="0.25">
      <c r="A7">
        <v>6</v>
      </c>
      <c r="B7" t="s">
        <v>23</v>
      </c>
      <c r="C7">
        <v>24</v>
      </c>
      <c r="D7">
        <v>12</v>
      </c>
      <c r="E7">
        <v>3</v>
      </c>
      <c r="F7">
        <v>9</v>
      </c>
      <c r="G7">
        <v>36</v>
      </c>
      <c r="H7">
        <v>36</v>
      </c>
      <c r="I7">
        <v>0</v>
      </c>
      <c r="J7">
        <v>39</v>
      </c>
      <c r="K7" t="s">
        <v>103</v>
      </c>
    </row>
    <row r="8" spans="1:11" x14ac:dyDescent="0.25">
      <c r="A8">
        <v>7</v>
      </c>
      <c r="B8" t="s">
        <v>17</v>
      </c>
      <c r="C8">
        <v>24</v>
      </c>
      <c r="D8">
        <v>11</v>
      </c>
      <c r="E8">
        <v>4</v>
      </c>
      <c r="F8">
        <v>9</v>
      </c>
      <c r="G8">
        <v>39</v>
      </c>
      <c r="H8">
        <v>35</v>
      </c>
      <c r="I8">
        <v>4</v>
      </c>
      <c r="J8">
        <v>37</v>
      </c>
      <c r="K8" t="s">
        <v>103</v>
      </c>
    </row>
    <row r="9" spans="1:11" x14ac:dyDescent="0.25">
      <c r="A9">
        <v>8</v>
      </c>
      <c r="B9" t="s">
        <v>9</v>
      </c>
      <c r="C9">
        <v>24</v>
      </c>
      <c r="D9">
        <v>9</v>
      </c>
      <c r="E9">
        <v>7</v>
      </c>
      <c r="F9">
        <v>8</v>
      </c>
      <c r="G9">
        <v>34</v>
      </c>
      <c r="H9">
        <v>29</v>
      </c>
      <c r="I9">
        <v>5</v>
      </c>
      <c r="J9">
        <v>34</v>
      </c>
      <c r="K9" t="s">
        <v>103</v>
      </c>
    </row>
    <row r="10" spans="1:11" x14ac:dyDescent="0.25">
      <c r="A10">
        <v>9</v>
      </c>
      <c r="B10" t="s">
        <v>39</v>
      </c>
      <c r="C10">
        <v>24</v>
      </c>
      <c r="D10">
        <v>9</v>
      </c>
      <c r="E10">
        <v>7</v>
      </c>
      <c r="F10">
        <v>8</v>
      </c>
      <c r="G10">
        <v>26</v>
      </c>
      <c r="H10">
        <v>23</v>
      </c>
      <c r="I10">
        <v>3</v>
      </c>
      <c r="J10">
        <v>34</v>
      </c>
      <c r="K10" t="s">
        <v>104</v>
      </c>
    </row>
    <row r="11" spans="1:11" x14ac:dyDescent="0.25">
      <c r="A11">
        <v>10</v>
      </c>
      <c r="B11" t="s">
        <v>42</v>
      </c>
      <c r="C11">
        <v>24</v>
      </c>
      <c r="D11">
        <v>8</v>
      </c>
      <c r="E11">
        <v>5</v>
      </c>
      <c r="F11">
        <v>11</v>
      </c>
      <c r="G11">
        <v>38</v>
      </c>
      <c r="H11">
        <v>38</v>
      </c>
      <c r="I11">
        <v>0</v>
      </c>
      <c r="J11">
        <v>29</v>
      </c>
      <c r="K11" t="s">
        <v>104</v>
      </c>
    </row>
    <row r="12" spans="1:11" x14ac:dyDescent="0.25">
      <c r="A12">
        <v>11</v>
      </c>
      <c r="B12" t="s">
        <v>19</v>
      </c>
      <c r="C12">
        <v>24</v>
      </c>
      <c r="D12">
        <v>7</v>
      </c>
      <c r="E12">
        <v>8</v>
      </c>
      <c r="F12">
        <v>9</v>
      </c>
      <c r="G12">
        <v>32</v>
      </c>
      <c r="H12">
        <v>33</v>
      </c>
      <c r="I12">
        <v>-1</v>
      </c>
      <c r="J12">
        <v>29</v>
      </c>
      <c r="K12" t="s">
        <v>104</v>
      </c>
    </row>
    <row r="13" spans="1:11" x14ac:dyDescent="0.25">
      <c r="A13">
        <v>12</v>
      </c>
      <c r="B13" t="s">
        <v>15</v>
      </c>
      <c r="C13">
        <v>24</v>
      </c>
      <c r="D13">
        <v>8</v>
      </c>
      <c r="E13">
        <v>5</v>
      </c>
      <c r="F13">
        <v>11</v>
      </c>
      <c r="G13">
        <v>20</v>
      </c>
      <c r="H13">
        <v>23</v>
      </c>
      <c r="I13">
        <v>-3</v>
      </c>
      <c r="J13">
        <v>29</v>
      </c>
      <c r="K13" t="s">
        <v>104</v>
      </c>
    </row>
    <row r="14" spans="1:11" x14ac:dyDescent="0.25">
      <c r="A14">
        <v>13</v>
      </c>
      <c r="B14" t="s">
        <v>32</v>
      </c>
      <c r="C14">
        <v>24</v>
      </c>
      <c r="D14">
        <v>7</v>
      </c>
      <c r="E14">
        <v>6</v>
      </c>
      <c r="F14">
        <v>11</v>
      </c>
      <c r="G14">
        <v>35</v>
      </c>
      <c r="H14">
        <v>50</v>
      </c>
      <c r="I14">
        <v>-15</v>
      </c>
      <c r="J14">
        <v>27</v>
      </c>
      <c r="K14" t="s">
        <v>104</v>
      </c>
    </row>
    <row r="15" spans="1:11" x14ac:dyDescent="0.25">
      <c r="A15">
        <v>14</v>
      </c>
      <c r="B15" t="s">
        <v>24</v>
      </c>
      <c r="C15">
        <v>24</v>
      </c>
      <c r="D15">
        <v>7</v>
      </c>
      <c r="E15">
        <v>5</v>
      </c>
      <c r="F15">
        <v>12</v>
      </c>
      <c r="G15">
        <v>31</v>
      </c>
      <c r="H15">
        <v>41</v>
      </c>
      <c r="I15">
        <v>-10</v>
      </c>
      <c r="J15">
        <v>26</v>
      </c>
      <c r="K15" t="s">
        <v>105</v>
      </c>
    </row>
    <row r="16" spans="1:11" x14ac:dyDescent="0.25">
      <c r="A16">
        <v>15</v>
      </c>
      <c r="B16" t="s">
        <v>27</v>
      </c>
      <c r="C16">
        <v>24</v>
      </c>
      <c r="D16">
        <v>6</v>
      </c>
      <c r="E16">
        <v>7</v>
      </c>
      <c r="F16">
        <v>11</v>
      </c>
      <c r="G16">
        <v>23</v>
      </c>
      <c r="H16">
        <v>33</v>
      </c>
      <c r="I16">
        <v>-10</v>
      </c>
      <c r="J16">
        <v>25</v>
      </c>
      <c r="K16" t="s">
        <v>105</v>
      </c>
    </row>
    <row r="17" spans="1:11" x14ac:dyDescent="0.25">
      <c r="A17">
        <v>16</v>
      </c>
      <c r="B17" t="s">
        <v>30</v>
      </c>
      <c r="C17">
        <v>24</v>
      </c>
      <c r="D17">
        <v>6</v>
      </c>
      <c r="E17">
        <v>6</v>
      </c>
      <c r="F17">
        <v>12</v>
      </c>
      <c r="G17">
        <v>36</v>
      </c>
      <c r="H17">
        <v>44</v>
      </c>
      <c r="I17">
        <v>-8</v>
      </c>
      <c r="J17">
        <v>24</v>
      </c>
      <c r="K17" t="s">
        <v>106</v>
      </c>
    </row>
    <row r="18" spans="1:11" x14ac:dyDescent="0.25">
      <c r="A18">
        <v>17</v>
      </c>
      <c r="B18" t="s">
        <v>5</v>
      </c>
      <c r="C18">
        <v>24</v>
      </c>
      <c r="D18">
        <v>5</v>
      </c>
      <c r="E18">
        <v>7</v>
      </c>
      <c r="F18">
        <v>12</v>
      </c>
      <c r="G18">
        <v>27</v>
      </c>
      <c r="H18">
        <v>36</v>
      </c>
      <c r="I18">
        <v>-9</v>
      </c>
      <c r="J18">
        <v>22</v>
      </c>
      <c r="K18" t="s">
        <v>107</v>
      </c>
    </row>
    <row r="19" spans="1:11" x14ac:dyDescent="0.25">
      <c r="A19">
        <v>18</v>
      </c>
      <c r="B19" t="s">
        <v>44</v>
      </c>
      <c r="C19">
        <v>24</v>
      </c>
      <c r="D19">
        <v>4</v>
      </c>
      <c r="E19">
        <v>8</v>
      </c>
      <c r="F19">
        <v>12</v>
      </c>
      <c r="G19">
        <v>27</v>
      </c>
      <c r="H19">
        <v>42</v>
      </c>
      <c r="I19">
        <v>-15</v>
      </c>
      <c r="J19">
        <v>20</v>
      </c>
      <c r="K19" t="s"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Data_Geografica</vt:lpstr>
      <vt:lpstr>Partidos_Fecha</vt:lpstr>
      <vt:lpstr>Resultados_Clausura</vt:lpstr>
      <vt:lpstr>Tabla_Clausura</vt:lpstr>
      <vt:lpstr>Tabla_Acumulada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</dc:creator>
  <cp:lastModifiedBy>GIULIANNO</cp:lastModifiedBy>
  <dcterms:created xsi:type="dcterms:W3CDTF">2026-09-05T00:54:48Z</dcterms:created>
  <dcterms:modified xsi:type="dcterms:W3CDTF">2026-09-05T02:15:03Z</dcterms:modified>
</cp:coreProperties>
</file>