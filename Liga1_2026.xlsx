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MPRESA\"/>
    </mc:Choice>
  </mc:AlternateContent>
  <xr:revisionPtr revIDLastSave="0" documentId="13_ncr:1_{2BC68B52-A148-49B2-A956-53C77ADE6F6D}" xr6:coauthVersionLast="47" xr6:coauthVersionMax="47" xr10:uidLastSave="{00000000-0000-0000-0000-000000000000}"/>
  <bookViews>
    <workbookView xWindow="-120" yWindow="-120" windowWidth="29040" windowHeight="15840" activeTab="1" xr2:uid="{92099A8A-09DA-40B1-A95C-2AD63072D0A5}"/>
  </bookViews>
  <sheets>
    <sheet name="Data_Geografica" sheetId="1" r:id="rId1"/>
    <sheet name="Partidos_Fecha" sheetId="2" r:id="rId2"/>
    <sheet name="Resultados_Clausura" sheetId="3" r:id="rId3"/>
    <sheet name="Tabla_Clausura" sheetId="4" r:id="rId4"/>
    <sheet name="Tabla_Acumulada" sheetId="5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" i="4"/>
</calcChain>
</file>

<file path=xl/sharedStrings.xml><?xml version="1.0" encoding="utf-8"?>
<sst xmlns="http://schemas.openxmlformats.org/spreadsheetml/2006/main" count="517" uniqueCount="107">
  <si>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</si>
  <si>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</si>
  <si>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</si>
  <si>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</si>
  <si>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</si>
  <si>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</si>
  <si>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</si>
  <si>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</si>
  <si>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</si>
  <si>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</si>
  <si>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</si>
  <si>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</si>
  <si>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</si>
  <si>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</si>
  <si>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</si>
  <si>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</si>
  <si>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</si>
  <si>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</si>
  <si>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</si>
  <si>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</si>
  <si>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</si>
  <si>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</si>
  <si>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</si>
  <si>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</si>
  <si>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</si>
  <si>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</si>
  <si>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</si>
  <si>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</si>
  <si>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</si>
  <si>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</si>
  <si>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</si>
  <si>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</si>
  <si>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</si>
  <si>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</si>
  <si>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</si>
  <si>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</si>
  <si>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</si>
  <si>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</si>
  <si>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</si>
  <si>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</si>
  <si>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</si>
  <si>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</si>
  <si>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</si>
  <si>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</si>
  <si>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</si>
  <si>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</si>
  <si>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</si>
  <si>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</si>
  <si>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</si>
  <si>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</si>
  <si>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</si>
  <si>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</si>
  <si>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</si>
  <si>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</si>
  <si>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</si>
  <si>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</si>
  <si>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Club Cienciano</t>
  </si>
  <si>
    <t>Estadio Héroes de San Ramón</t>
  </si>
  <si>
    <t>Estadio Campeones del 36</t>
  </si>
  <si>
    <t>Estadio IPD Huancayo</t>
  </si>
  <si>
    <t>Estadio Inca Garcilaso de la Vega</t>
  </si>
  <si>
    <t>Estadio Monumental «U»</t>
  </si>
  <si>
    <t>Los Chankas</t>
  </si>
  <si>
    <t>Estadio Alberto Gallardo</t>
  </si>
  <si>
    <t>Complejo Deportivo Juan Pablo II</t>
  </si>
  <si>
    <t>FBC Melgar</t>
  </si>
  <si>
    <t>Estadio Monumental UNSA</t>
  </si>
  <si>
    <t>Jornada 9</t>
  </si>
  <si>
    <t>Estadio Los Chankas</t>
  </si>
  <si>
    <t>Estadio Juan Maldonado Gamarra</t>
  </si>
  <si>
    <t>Estadio 25 de Noviembre</t>
  </si>
  <si>
    <t>Estadio Alejandro Villanueva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</si>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</sst>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A19" sqref="A19"/>
    </sheetView>
  </sheetViews>
  <sheetFormatPr baseColWidth="10" defaultRowHeight="15" x14ac:dyDescent="0.25"/>
  <cols>
    <col min="1" max="1" width="19.85546875" bestFit="1" customWidth="1"/>
    <col min="3" max="3" width="13.5703125" bestFit="1" customWidth="1"/>
    <col min="4" max="4" width="18" bestFit="1" customWidth="1"/>
    <col min="5" max="5" width="12.140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 x14ac:dyDescent="0.25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 x14ac:dyDescent="0.25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 x14ac:dyDescent="0.25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 x14ac:dyDescent="0.25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 x14ac:dyDescent="0.25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 x14ac:dyDescent="0.25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 x14ac:dyDescent="0.25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 x14ac:dyDescent="0.25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 x14ac:dyDescent="0.25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 x14ac:dyDescent="0.25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 x14ac:dyDescent="0.25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 x14ac:dyDescent="0.25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 x14ac:dyDescent="0.25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 x14ac:dyDescent="0.25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 x14ac:dyDescent="0.25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 x14ac:dyDescent="0.25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 x14ac:dyDescent="0.25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16"/>
  <sheetViews>
    <sheetView tabSelected="1" workbookViewId="0">
      <selection activeCell="E17" sqref="E17"/>
    </sheetView>
  </sheetViews>
  <sheetFormatPr baseColWidth="10" defaultRowHeight="15" x14ac:dyDescent="0.25"/>
  <cols>
    <col min="1" max="1" width="9.28515625" bestFit="1" customWidth="1"/>
    <col min="2" max="2" width="10.7109375" bestFit="1" customWidth="1"/>
    <col min="3" max="3" width="9" bestFit="1" customWidth="1"/>
    <col min="4" max="4" width="8.140625" bestFit="1" customWidth="1"/>
    <col min="5" max="6" width="19.85546875" bestFit="1" customWidth="1"/>
    <col min="7" max="7" width="30.7109375" bestFit="1" customWidth="1"/>
    <col min="8" max="8" width="12.28515625" bestFit="1" customWidth="1"/>
    <col min="9" max="9" width="12.5703125" bestFit="1" customWidth="1"/>
    <col min="10" max="10" width="13.140625" bestFit="1" customWidth="1"/>
    <col min="11" max="11" width="19.42578125" bestFit="1" customWidth="1"/>
    <col min="12" max="12" width="19.5703125" bestFit="1" customWidth="1"/>
    <col min="13" max="13" width="20.140625" bestFit="1" customWidth="1"/>
  </cols>
  <sheetData>
    <row r="1" spans="1:13" s="1" customFormat="1" x14ac:dyDescent="0.25">
      <c r="A1" s="1" t="s">
        <v>45</v>
      </c>
      <c r="B1" s="1" t="s">
        <v>102</v>
      </c>
      <c r="C1" s="1" t="s">
        <v>103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 x14ac:dyDescent="0.25">
      <c r="A2" t="s">
        <v>55</v>
      </c>
      <c r="B2" s="3">
        <v>46269</v>
      </c>
      <c r="C2" t="s">
        <v>104</v>
      </c>
      <c r="D2" s="2">
        <v>0.54166666666666663</v>
      </c>
      <c r="E2" t="s">
        <v>30</v>
      </c>
      <c r="F2" t="s">
        <v>56</v>
      </c>
      <c r="G2" t="s">
        <v>57</v>
      </c>
      <c r="H2" t="s">
        <v>31</v>
      </c>
      <c r="I2">
        <v>2750</v>
      </c>
      <c r="J2">
        <v>3399</v>
      </c>
      <c r="K2">
        <v>0</v>
      </c>
      <c r="L2">
        <v>7</v>
      </c>
      <c r="M2">
        <v>7</v>
      </c>
    </row>
    <row r="3" spans="1:13" x14ac:dyDescent="0.25">
      <c r="A3" t="s">
        <v>55</v>
      </c>
      <c r="B3" s="3">
        <v>46269</v>
      </c>
      <c r="C3" t="s">
        <v>104</v>
      </c>
      <c r="D3" s="2">
        <v>0.63541666666666663</v>
      </c>
      <c r="E3" t="s">
        <v>9</v>
      </c>
      <c r="F3" t="s">
        <v>44</v>
      </c>
      <c r="G3" t="s">
        <v>58</v>
      </c>
      <c r="H3" t="s">
        <v>10</v>
      </c>
      <c r="I3">
        <v>50</v>
      </c>
      <c r="J3">
        <v>2750</v>
      </c>
      <c r="K3">
        <v>0</v>
      </c>
      <c r="L3">
        <v>7</v>
      </c>
      <c r="M3">
        <v>7</v>
      </c>
    </row>
    <row r="4" spans="1:13" x14ac:dyDescent="0.25">
      <c r="A4" t="s">
        <v>55</v>
      </c>
      <c r="B4" s="3">
        <v>46270</v>
      </c>
      <c r="C4" t="s">
        <v>105</v>
      </c>
      <c r="D4" s="2">
        <v>0.625</v>
      </c>
      <c r="E4" t="s">
        <v>24</v>
      </c>
      <c r="F4" t="s">
        <v>39</v>
      </c>
      <c r="G4" t="s">
        <v>59</v>
      </c>
      <c r="H4" t="s">
        <v>25</v>
      </c>
      <c r="I4">
        <v>3259</v>
      </c>
      <c r="J4">
        <v>10</v>
      </c>
      <c r="K4">
        <v>3249</v>
      </c>
      <c r="L4">
        <v>7</v>
      </c>
      <c r="M4">
        <v>7</v>
      </c>
    </row>
    <row r="5" spans="1:13" x14ac:dyDescent="0.25">
      <c r="A5" t="s">
        <v>55</v>
      </c>
      <c r="B5" s="3">
        <v>46270</v>
      </c>
      <c r="C5" t="s">
        <v>105</v>
      </c>
      <c r="D5" s="2">
        <v>0.75</v>
      </c>
      <c r="E5" t="s">
        <v>23</v>
      </c>
      <c r="F5" t="s">
        <v>27</v>
      </c>
      <c r="G5" t="s">
        <v>60</v>
      </c>
      <c r="H5" t="s">
        <v>18</v>
      </c>
      <c r="I5">
        <v>3399</v>
      </c>
      <c r="J5">
        <v>1410</v>
      </c>
      <c r="K5">
        <v>1989</v>
      </c>
      <c r="L5">
        <v>7</v>
      </c>
      <c r="M5">
        <v>7</v>
      </c>
    </row>
    <row r="6" spans="1:13" x14ac:dyDescent="0.25">
      <c r="A6" t="s">
        <v>55</v>
      </c>
      <c r="B6" s="3">
        <v>46270</v>
      </c>
      <c r="C6" t="s">
        <v>105</v>
      </c>
      <c r="D6" s="2">
        <v>0.85416666666666663</v>
      </c>
      <c r="E6" t="s">
        <v>43</v>
      </c>
      <c r="F6" t="s">
        <v>19</v>
      </c>
      <c r="G6" t="s">
        <v>61</v>
      </c>
      <c r="H6" t="s">
        <v>13</v>
      </c>
      <c r="I6">
        <v>150</v>
      </c>
      <c r="J6">
        <v>2620</v>
      </c>
      <c r="K6">
        <v>0</v>
      </c>
      <c r="L6">
        <v>7</v>
      </c>
      <c r="M6">
        <v>7</v>
      </c>
    </row>
    <row r="7" spans="1:13" x14ac:dyDescent="0.25">
      <c r="A7" t="s">
        <v>55</v>
      </c>
      <c r="B7" s="3">
        <v>46271</v>
      </c>
      <c r="C7" t="s">
        <v>106</v>
      </c>
      <c r="D7" s="2">
        <v>0.45833333333333331</v>
      </c>
      <c r="E7" t="s">
        <v>42</v>
      </c>
      <c r="F7" t="s">
        <v>62</v>
      </c>
      <c r="G7" t="s">
        <v>63</v>
      </c>
      <c r="H7" t="s">
        <v>13</v>
      </c>
      <c r="I7">
        <v>150</v>
      </c>
      <c r="J7">
        <v>2920</v>
      </c>
      <c r="K7">
        <v>0</v>
      </c>
      <c r="L7">
        <v>7</v>
      </c>
      <c r="M7">
        <v>7</v>
      </c>
    </row>
    <row r="8" spans="1:13" x14ac:dyDescent="0.25">
      <c r="A8" t="s">
        <v>55</v>
      </c>
      <c r="B8" s="3">
        <v>46271</v>
      </c>
      <c r="C8" t="s">
        <v>106</v>
      </c>
      <c r="D8" s="2">
        <v>0.5625</v>
      </c>
      <c r="E8" t="s">
        <v>26</v>
      </c>
      <c r="F8" t="s">
        <v>15</v>
      </c>
      <c r="G8" t="s">
        <v>60</v>
      </c>
      <c r="H8" t="s">
        <v>18</v>
      </c>
      <c r="I8">
        <v>3399</v>
      </c>
      <c r="J8">
        <v>50</v>
      </c>
      <c r="K8">
        <v>3349</v>
      </c>
      <c r="L8">
        <v>7</v>
      </c>
      <c r="M8">
        <v>7</v>
      </c>
    </row>
    <row r="9" spans="1:13" x14ac:dyDescent="0.25">
      <c r="A9" t="s">
        <v>55</v>
      </c>
      <c r="B9" s="3">
        <v>46271</v>
      </c>
      <c r="C9" t="s">
        <v>106</v>
      </c>
      <c r="D9" s="2">
        <v>0.625</v>
      </c>
      <c r="E9" t="s">
        <v>32</v>
      </c>
      <c r="F9" t="s">
        <v>12</v>
      </c>
      <c r="G9" t="s">
        <v>64</v>
      </c>
      <c r="H9" t="s">
        <v>33</v>
      </c>
      <c r="I9">
        <v>150</v>
      </c>
      <c r="J9">
        <v>150</v>
      </c>
      <c r="K9">
        <v>0</v>
      </c>
      <c r="L9">
        <v>7</v>
      </c>
      <c r="M9">
        <v>7</v>
      </c>
    </row>
    <row r="10" spans="1:13" x14ac:dyDescent="0.25">
      <c r="A10" t="s">
        <v>55</v>
      </c>
      <c r="B10" s="3">
        <v>46271</v>
      </c>
      <c r="C10" t="s">
        <v>106</v>
      </c>
      <c r="D10" s="2">
        <v>0.77083333333333337</v>
      </c>
      <c r="E10" t="s">
        <v>65</v>
      </c>
      <c r="F10" t="s">
        <v>5</v>
      </c>
      <c r="G10" t="s">
        <v>66</v>
      </c>
      <c r="H10" t="s">
        <v>38</v>
      </c>
      <c r="I10">
        <v>2335</v>
      </c>
      <c r="J10">
        <v>3050</v>
      </c>
      <c r="K10">
        <v>0</v>
      </c>
      <c r="L10">
        <v>7</v>
      </c>
      <c r="M10">
        <v>7</v>
      </c>
    </row>
    <row r="11" spans="1:13" x14ac:dyDescent="0.25">
      <c r="A11" t="s">
        <v>67</v>
      </c>
      <c r="B11" s="3">
        <v>46276</v>
      </c>
      <c r="C11" t="s">
        <v>104</v>
      </c>
      <c r="D11" s="2">
        <v>0.625</v>
      </c>
      <c r="E11" t="s">
        <v>44</v>
      </c>
      <c r="F11" t="s">
        <v>32</v>
      </c>
      <c r="G11" t="s">
        <v>57</v>
      </c>
      <c r="H11" t="s">
        <v>31</v>
      </c>
      <c r="I11">
        <v>2750</v>
      </c>
      <c r="J11">
        <v>150</v>
      </c>
      <c r="K11">
        <v>2600</v>
      </c>
      <c r="L11">
        <v>7</v>
      </c>
      <c r="M11">
        <v>7</v>
      </c>
    </row>
    <row r="12" spans="1:13" x14ac:dyDescent="0.25">
      <c r="A12" t="s">
        <v>67</v>
      </c>
      <c r="B12" s="3">
        <v>46276</v>
      </c>
      <c r="C12" t="s">
        <v>104</v>
      </c>
      <c r="D12" s="2">
        <v>0.79166666666666663</v>
      </c>
      <c r="E12" t="s">
        <v>23</v>
      </c>
      <c r="F12" t="s">
        <v>65</v>
      </c>
      <c r="G12" t="s">
        <v>60</v>
      </c>
      <c r="H12" t="s">
        <v>18</v>
      </c>
      <c r="I12">
        <v>3399</v>
      </c>
      <c r="J12">
        <v>2335</v>
      </c>
      <c r="K12">
        <v>1064</v>
      </c>
      <c r="L12">
        <v>7</v>
      </c>
      <c r="M12">
        <v>7</v>
      </c>
    </row>
    <row r="13" spans="1:13" x14ac:dyDescent="0.25">
      <c r="A13" t="s">
        <v>67</v>
      </c>
      <c r="B13" s="3">
        <v>46277</v>
      </c>
      <c r="C13" t="s">
        <v>105</v>
      </c>
      <c r="D13" s="2">
        <v>0.4375</v>
      </c>
      <c r="E13" t="s">
        <v>62</v>
      </c>
      <c r="F13" t="s">
        <v>30</v>
      </c>
      <c r="G13" t="s">
        <v>68</v>
      </c>
      <c r="H13" t="s">
        <v>36</v>
      </c>
      <c r="I13">
        <v>2920</v>
      </c>
      <c r="J13">
        <v>2750</v>
      </c>
      <c r="K13">
        <v>170</v>
      </c>
      <c r="L13">
        <v>7</v>
      </c>
      <c r="M13">
        <v>7</v>
      </c>
    </row>
    <row r="14" spans="1:13" x14ac:dyDescent="0.25">
      <c r="A14" t="s">
        <v>67</v>
      </c>
      <c r="B14" s="3">
        <v>46277</v>
      </c>
      <c r="C14" t="s">
        <v>105</v>
      </c>
      <c r="D14" s="2">
        <v>0.54166666666666663</v>
      </c>
      <c r="E14" t="s">
        <v>19</v>
      </c>
      <c r="F14" t="s">
        <v>24</v>
      </c>
      <c r="G14" t="s">
        <v>69</v>
      </c>
      <c r="H14" t="s">
        <v>20</v>
      </c>
      <c r="I14">
        <v>2620</v>
      </c>
      <c r="J14">
        <v>3259</v>
      </c>
      <c r="K14">
        <v>0</v>
      </c>
      <c r="L14">
        <v>7</v>
      </c>
      <c r="M14">
        <v>7</v>
      </c>
    </row>
    <row r="15" spans="1:13" x14ac:dyDescent="0.25">
      <c r="A15" t="s">
        <v>67</v>
      </c>
      <c r="B15" s="3">
        <v>46277</v>
      </c>
      <c r="C15" t="s">
        <v>105</v>
      </c>
      <c r="D15" s="2">
        <v>0.63541666666666663</v>
      </c>
      <c r="E15" t="s">
        <v>27</v>
      </c>
      <c r="F15" t="s">
        <v>42</v>
      </c>
      <c r="G15" t="s">
        <v>70</v>
      </c>
      <c r="H15" t="s">
        <v>28</v>
      </c>
      <c r="I15">
        <v>1410</v>
      </c>
      <c r="J15">
        <v>150</v>
      </c>
      <c r="K15">
        <v>1260</v>
      </c>
      <c r="L15">
        <v>7</v>
      </c>
      <c r="M15">
        <v>7</v>
      </c>
    </row>
    <row r="16" spans="1:13" x14ac:dyDescent="0.25">
      <c r="A16" t="s">
        <v>67</v>
      </c>
      <c r="B16" s="3">
        <v>46277</v>
      </c>
      <c r="C16" t="s">
        <v>105</v>
      </c>
      <c r="D16" s="2">
        <v>0.83333333333333337</v>
      </c>
      <c r="E16" t="s">
        <v>12</v>
      </c>
      <c r="F16" t="s">
        <v>43</v>
      </c>
      <c r="G16" t="s">
        <v>71</v>
      </c>
      <c r="H16" t="s">
        <v>13</v>
      </c>
      <c r="I16">
        <v>150</v>
      </c>
      <c r="J16">
        <v>150</v>
      </c>
      <c r="K16">
        <v>0</v>
      </c>
      <c r="L16">
        <v>7</v>
      </c>
      <c r="M16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J64"/>
  <sheetViews>
    <sheetView workbookViewId="0">
      <selection activeCell="E66" sqref="E66"/>
    </sheetView>
  </sheetViews>
  <sheetFormatPr baseColWidth="10" defaultRowHeight="15" x14ac:dyDescent="0.25"/>
  <cols>
    <col min="1" max="1" width="9.28515625" bestFit="1" customWidth="1"/>
    <col min="2" max="2" width="19.85546875" bestFit="1" customWidth="1"/>
    <col min="3" max="3" width="11.5703125" bestFit="1" customWidth="1"/>
    <col min="4" max="4" width="12.140625" bestFit="1" customWidth="1"/>
    <col min="5" max="5" width="19.85546875" bestFit="1" customWidth="1"/>
    <col min="6" max="6" width="12.28515625" bestFit="1" customWidth="1"/>
    <col min="7" max="7" width="12.5703125" bestFit="1" customWidth="1"/>
    <col min="8" max="8" width="13.140625" bestFit="1" customWidth="1"/>
    <col min="9" max="9" width="8.85546875" bestFit="1" customWidth="1"/>
    <col min="10" max="10" width="9.42578125" bestFit="1" customWidth="1"/>
  </cols>
  <sheetData>
    <row r="1" spans="1:10" s="1" customFormat="1" x14ac:dyDescent="0.25">
      <c r="A1" s="1" t="s">
        <v>45</v>
      </c>
      <c r="B1" s="1" t="s">
        <v>47</v>
      </c>
      <c r="C1" s="1" t="s">
        <v>72</v>
      </c>
      <c r="D1" s="1" t="s">
        <v>73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74</v>
      </c>
      <c r="J1" s="1" t="s">
        <v>75</v>
      </c>
    </row>
    <row r="2" spans="1:10" x14ac:dyDescent="0.25">
      <c r="A2" t="s">
        <v>76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v>2750</v>
      </c>
      <c r="H2">
        <v>150</v>
      </c>
      <c r="I2">
        <v>2.0499999999999998</v>
      </c>
      <c r="J2">
        <v>1.95</v>
      </c>
    </row>
    <row r="3" spans="1:10" x14ac:dyDescent="0.25">
      <c r="A3" t="s">
        <v>76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v>150</v>
      </c>
      <c r="H3">
        <v>3399</v>
      </c>
      <c r="I3">
        <v>1.2</v>
      </c>
      <c r="J3">
        <v>0.25</v>
      </c>
    </row>
    <row r="4" spans="1:10" x14ac:dyDescent="0.25">
      <c r="A4" t="s">
        <v>76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v>3399</v>
      </c>
      <c r="H4">
        <v>2335</v>
      </c>
      <c r="I4">
        <v>1.2</v>
      </c>
      <c r="J4">
        <v>2.8</v>
      </c>
    </row>
    <row r="5" spans="1:10" x14ac:dyDescent="0.25">
      <c r="A5" t="s">
        <v>76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v>1410</v>
      </c>
      <c r="H5">
        <v>2620</v>
      </c>
      <c r="I5">
        <v>2.0499999999999998</v>
      </c>
      <c r="J5">
        <v>1.95</v>
      </c>
    </row>
    <row r="6" spans="1:10" x14ac:dyDescent="0.25">
      <c r="A6" t="s">
        <v>76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v>3050</v>
      </c>
      <c r="H6">
        <v>150</v>
      </c>
      <c r="I6">
        <v>1.2</v>
      </c>
      <c r="J6">
        <v>1.95</v>
      </c>
    </row>
    <row r="7" spans="1:10" x14ac:dyDescent="0.25">
      <c r="A7" t="s">
        <v>76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v>50</v>
      </c>
      <c r="H7">
        <v>2750</v>
      </c>
      <c r="I7">
        <v>2.9</v>
      </c>
      <c r="J7">
        <v>1.1000000000000001</v>
      </c>
    </row>
    <row r="8" spans="1:10" x14ac:dyDescent="0.25">
      <c r="A8" t="s">
        <v>76</v>
      </c>
      <c r="B8" t="s">
        <v>18</v>
      </c>
      <c r="C8">
        <v>4</v>
      </c>
      <c r="D8">
        <v>1</v>
      </c>
      <c r="E8" t="s">
        <v>9</v>
      </c>
      <c r="F8" t="s">
        <v>18</v>
      </c>
      <c r="G8">
        <v>3399</v>
      </c>
      <c r="H8">
        <v>50</v>
      </c>
      <c r="I8">
        <v>3.75</v>
      </c>
      <c r="J8">
        <v>1.1000000000000001</v>
      </c>
    </row>
    <row r="9" spans="1:10" x14ac:dyDescent="0.25">
      <c r="A9" t="s">
        <v>76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v>2920</v>
      </c>
      <c r="H9">
        <v>10</v>
      </c>
      <c r="I9">
        <v>1.2</v>
      </c>
      <c r="J9">
        <v>0.25</v>
      </c>
    </row>
    <row r="10" spans="1:10" x14ac:dyDescent="0.25">
      <c r="A10" t="s">
        <v>76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v>150</v>
      </c>
      <c r="H10">
        <v>3259</v>
      </c>
      <c r="I10">
        <v>2.0499999999999998</v>
      </c>
      <c r="J10">
        <v>1.1000000000000001</v>
      </c>
    </row>
    <row r="11" spans="1:10" x14ac:dyDescent="0.25">
      <c r="A11" t="s">
        <v>77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v>50</v>
      </c>
      <c r="H11">
        <v>2920</v>
      </c>
      <c r="I11">
        <v>2.9</v>
      </c>
      <c r="J11">
        <v>1.1000000000000001</v>
      </c>
    </row>
    <row r="12" spans="1:10" x14ac:dyDescent="0.25">
      <c r="A12" t="s">
        <v>77</v>
      </c>
      <c r="B12" t="s">
        <v>43</v>
      </c>
      <c r="C12">
        <v>2</v>
      </c>
      <c r="D12">
        <v>1</v>
      </c>
      <c r="E12" t="s">
        <v>18</v>
      </c>
      <c r="F12" t="s">
        <v>13</v>
      </c>
      <c r="G12">
        <v>150</v>
      </c>
      <c r="H12">
        <v>3399</v>
      </c>
      <c r="I12">
        <v>2.0499999999999998</v>
      </c>
      <c r="J12">
        <v>1.1000000000000001</v>
      </c>
    </row>
    <row r="13" spans="1:10" x14ac:dyDescent="0.25">
      <c r="A13" t="s">
        <v>77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v>10</v>
      </c>
      <c r="H13">
        <v>3050</v>
      </c>
      <c r="I13">
        <v>2.0499999999999998</v>
      </c>
      <c r="J13">
        <v>0.25</v>
      </c>
    </row>
    <row r="14" spans="1:10" x14ac:dyDescent="0.25">
      <c r="A14" t="s">
        <v>77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v>3259</v>
      </c>
      <c r="H14">
        <v>50</v>
      </c>
      <c r="I14">
        <v>2.0499999999999998</v>
      </c>
      <c r="J14">
        <v>0.25</v>
      </c>
    </row>
    <row r="15" spans="1:10" x14ac:dyDescent="0.25">
      <c r="A15" t="s">
        <v>77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v>150</v>
      </c>
      <c r="H15">
        <v>3399</v>
      </c>
      <c r="I15">
        <v>2.0499999999999998</v>
      </c>
      <c r="J15">
        <v>0.25</v>
      </c>
    </row>
    <row r="16" spans="1:10" x14ac:dyDescent="0.25">
      <c r="A16" t="s">
        <v>77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v>2335</v>
      </c>
      <c r="H16">
        <v>150</v>
      </c>
      <c r="I16">
        <v>2.0499999999999998</v>
      </c>
      <c r="J16">
        <v>1.1000000000000001</v>
      </c>
    </row>
    <row r="17" spans="1:10" x14ac:dyDescent="0.25">
      <c r="A17" t="s">
        <v>77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v>2750</v>
      </c>
      <c r="H17">
        <v>1410</v>
      </c>
      <c r="I17">
        <v>0.35</v>
      </c>
      <c r="J17">
        <v>0.25</v>
      </c>
    </row>
    <row r="18" spans="1:10" x14ac:dyDescent="0.25">
      <c r="A18" t="s">
        <v>77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v>2620</v>
      </c>
      <c r="H18">
        <v>150</v>
      </c>
      <c r="I18">
        <v>2.0499999999999998</v>
      </c>
      <c r="J18">
        <v>1.95</v>
      </c>
    </row>
    <row r="19" spans="1:10" x14ac:dyDescent="0.25">
      <c r="A19" t="s">
        <v>77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v>3399</v>
      </c>
      <c r="H19">
        <v>2750</v>
      </c>
      <c r="I19">
        <v>2.0499999999999998</v>
      </c>
      <c r="J19">
        <v>1.1000000000000001</v>
      </c>
    </row>
    <row r="20" spans="1:10" x14ac:dyDescent="0.25">
      <c r="A20" t="s">
        <v>78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v>2920</v>
      </c>
      <c r="H20">
        <v>2620</v>
      </c>
      <c r="I20">
        <v>2.9</v>
      </c>
      <c r="J20">
        <v>1.95</v>
      </c>
    </row>
    <row r="21" spans="1:10" x14ac:dyDescent="0.25">
      <c r="A21" t="s">
        <v>78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v>2750</v>
      </c>
      <c r="H21">
        <v>3259</v>
      </c>
      <c r="I21">
        <v>0.35</v>
      </c>
      <c r="J21">
        <v>1.95</v>
      </c>
    </row>
    <row r="22" spans="1:10" x14ac:dyDescent="0.25">
      <c r="A22" t="s">
        <v>78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v>50</v>
      </c>
      <c r="H22">
        <v>10</v>
      </c>
      <c r="I22">
        <v>0.35</v>
      </c>
      <c r="J22">
        <v>1.1000000000000001</v>
      </c>
    </row>
    <row r="23" spans="1:10" x14ac:dyDescent="0.25">
      <c r="A23" t="s">
        <v>78</v>
      </c>
      <c r="B23" t="s">
        <v>18</v>
      </c>
      <c r="C23">
        <v>4</v>
      </c>
      <c r="D23">
        <v>1</v>
      </c>
      <c r="E23" t="s">
        <v>44</v>
      </c>
      <c r="F23" t="s">
        <v>18</v>
      </c>
      <c r="G23">
        <v>3399</v>
      </c>
      <c r="H23">
        <v>2750</v>
      </c>
      <c r="I23">
        <v>3.75</v>
      </c>
      <c r="J23">
        <v>1.1000000000000001</v>
      </c>
    </row>
    <row r="24" spans="1:10" x14ac:dyDescent="0.25">
      <c r="A24" t="s">
        <v>78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v>150</v>
      </c>
      <c r="H24">
        <v>50</v>
      </c>
      <c r="I24">
        <v>2.9</v>
      </c>
      <c r="J24">
        <v>1.1000000000000001</v>
      </c>
    </row>
    <row r="25" spans="1:10" x14ac:dyDescent="0.25">
      <c r="A25" t="s">
        <v>78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v>150</v>
      </c>
      <c r="H25">
        <v>150</v>
      </c>
      <c r="I25">
        <v>2.0499999999999998</v>
      </c>
      <c r="J25">
        <v>0.25</v>
      </c>
    </row>
    <row r="26" spans="1:10" x14ac:dyDescent="0.25">
      <c r="A26" t="s">
        <v>78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v>3050</v>
      </c>
      <c r="H26">
        <v>3399</v>
      </c>
      <c r="I26">
        <v>0.35</v>
      </c>
      <c r="J26">
        <v>1.1000000000000001</v>
      </c>
    </row>
    <row r="27" spans="1:10" x14ac:dyDescent="0.25">
      <c r="A27" t="s">
        <v>78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v>1410</v>
      </c>
      <c r="H27">
        <v>2335</v>
      </c>
      <c r="I27">
        <v>0.35</v>
      </c>
      <c r="J27">
        <v>0.25</v>
      </c>
    </row>
    <row r="28" spans="1:10" x14ac:dyDescent="0.25">
      <c r="A28" t="s">
        <v>78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v>3399</v>
      </c>
      <c r="H28">
        <v>150</v>
      </c>
      <c r="I28">
        <v>2.0499999999999998</v>
      </c>
      <c r="J28">
        <v>0.25</v>
      </c>
    </row>
    <row r="29" spans="1:10" x14ac:dyDescent="0.25">
      <c r="A29" t="s">
        <v>79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v>50</v>
      </c>
      <c r="H29">
        <v>3399</v>
      </c>
      <c r="I29">
        <v>1.2</v>
      </c>
      <c r="J29">
        <v>0.25</v>
      </c>
    </row>
    <row r="30" spans="1:10" x14ac:dyDescent="0.25">
      <c r="A30" t="s">
        <v>79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v>3259</v>
      </c>
      <c r="H30">
        <v>2920</v>
      </c>
      <c r="I30">
        <v>1.2</v>
      </c>
      <c r="J30">
        <v>1.1000000000000001</v>
      </c>
    </row>
    <row r="31" spans="1:10" x14ac:dyDescent="0.25">
      <c r="A31" t="s">
        <v>79</v>
      </c>
      <c r="B31" t="s">
        <v>19</v>
      </c>
      <c r="C31">
        <v>3</v>
      </c>
      <c r="D31">
        <v>1</v>
      </c>
      <c r="E31" t="s">
        <v>18</v>
      </c>
      <c r="F31" t="s">
        <v>20</v>
      </c>
      <c r="G31">
        <v>2620</v>
      </c>
      <c r="H31">
        <v>3399</v>
      </c>
      <c r="I31">
        <v>2.9</v>
      </c>
      <c r="J31">
        <v>1.1000000000000001</v>
      </c>
    </row>
    <row r="32" spans="1:10" x14ac:dyDescent="0.25">
      <c r="A32" t="s">
        <v>79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v>150</v>
      </c>
      <c r="H32">
        <v>150</v>
      </c>
      <c r="I32">
        <v>1.2</v>
      </c>
      <c r="J32">
        <v>1.1000000000000001</v>
      </c>
    </row>
    <row r="33" spans="1:10" x14ac:dyDescent="0.25">
      <c r="A33" t="s">
        <v>79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v>2750</v>
      </c>
      <c r="H33">
        <v>3050</v>
      </c>
      <c r="I33">
        <v>1.2</v>
      </c>
      <c r="J33">
        <v>1.1000000000000001</v>
      </c>
    </row>
    <row r="34" spans="1:10" x14ac:dyDescent="0.25">
      <c r="A34" t="s">
        <v>79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v>150</v>
      </c>
      <c r="H34">
        <v>50</v>
      </c>
      <c r="I34">
        <v>0.35</v>
      </c>
      <c r="J34">
        <v>0.25</v>
      </c>
    </row>
    <row r="35" spans="1:10" x14ac:dyDescent="0.25">
      <c r="A35" t="s">
        <v>79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v>10</v>
      </c>
      <c r="H35">
        <v>150</v>
      </c>
      <c r="I35">
        <v>1.2</v>
      </c>
      <c r="J35">
        <v>1.1000000000000001</v>
      </c>
    </row>
    <row r="36" spans="1:10" x14ac:dyDescent="0.25">
      <c r="A36" t="s">
        <v>79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v>3399</v>
      </c>
      <c r="H36">
        <v>1410</v>
      </c>
      <c r="I36">
        <v>2.0499999999999998</v>
      </c>
      <c r="J36">
        <v>0.25</v>
      </c>
    </row>
    <row r="37" spans="1:10" x14ac:dyDescent="0.25">
      <c r="A37" t="s">
        <v>79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v>2335</v>
      </c>
      <c r="H37">
        <v>2750</v>
      </c>
      <c r="I37">
        <v>2.0499999999999998</v>
      </c>
      <c r="J37">
        <v>3.65</v>
      </c>
    </row>
    <row r="38" spans="1:10" x14ac:dyDescent="0.25">
      <c r="A38" t="s">
        <v>80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v>50</v>
      </c>
      <c r="H38">
        <v>2620</v>
      </c>
      <c r="I38">
        <v>1.2</v>
      </c>
      <c r="J38">
        <v>0.25</v>
      </c>
    </row>
    <row r="39" spans="1:10" x14ac:dyDescent="0.25">
      <c r="A39" t="s">
        <v>80</v>
      </c>
      <c r="B39" t="s">
        <v>18</v>
      </c>
      <c r="C39">
        <v>2</v>
      </c>
      <c r="D39">
        <v>0</v>
      </c>
      <c r="E39" t="s">
        <v>32</v>
      </c>
      <c r="F39" t="s">
        <v>18</v>
      </c>
      <c r="G39">
        <v>3399</v>
      </c>
      <c r="H39">
        <v>150</v>
      </c>
      <c r="I39">
        <v>2.0499999999999998</v>
      </c>
      <c r="J39">
        <v>0.25</v>
      </c>
    </row>
    <row r="40" spans="1:10" x14ac:dyDescent="0.25">
      <c r="A40" t="s">
        <v>80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v>3050</v>
      </c>
      <c r="H40">
        <v>50</v>
      </c>
      <c r="I40">
        <v>1.2</v>
      </c>
      <c r="J40">
        <v>1.1000000000000001</v>
      </c>
    </row>
    <row r="41" spans="1:10" x14ac:dyDescent="0.25">
      <c r="A41" t="s">
        <v>80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v>2920</v>
      </c>
      <c r="H41">
        <v>2335</v>
      </c>
      <c r="I41">
        <v>0.35</v>
      </c>
      <c r="J41">
        <v>2.8</v>
      </c>
    </row>
    <row r="42" spans="1:10" x14ac:dyDescent="0.25">
      <c r="A42" t="s">
        <v>80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v>150</v>
      </c>
      <c r="H42">
        <v>2750</v>
      </c>
      <c r="I42">
        <v>1.2</v>
      </c>
      <c r="J42">
        <v>0.25</v>
      </c>
    </row>
    <row r="43" spans="1:10" x14ac:dyDescent="0.25">
      <c r="A43" t="s">
        <v>80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v>150</v>
      </c>
      <c r="H43">
        <v>3259</v>
      </c>
      <c r="I43">
        <v>3.75</v>
      </c>
      <c r="J43">
        <v>1.1000000000000001</v>
      </c>
    </row>
    <row r="44" spans="1:10" x14ac:dyDescent="0.25">
      <c r="A44" t="s">
        <v>80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v>1410</v>
      </c>
      <c r="H44">
        <v>10</v>
      </c>
      <c r="I44">
        <v>1.2</v>
      </c>
      <c r="J44">
        <v>1.1000000000000001</v>
      </c>
    </row>
    <row r="45" spans="1:10" x14ac:dyDescent="0.25">
      <c r="A45" t="s">
        <v>80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v>2750</v>
      </c>
      <c r="H45">
        <v>150</v>
      </c>
      <c r="I45">
        <v>2.0499999999999998</v>
      </c>
      <c r="J45">
        <v>2.8</v>
      </c>
    </row>
    <row r="46" spans="1:10" x14ac:dyDescent="0.25">
      <c r="A46" t="s">
        <v>80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v>3399</v>
      </c>
      <c r="H46">
        <v>3399</v>
      </c>
      <c r="I46">
        <v>0.35</v>
      </c>
      <c r="J46">
        <v>0.25</v>
      </c>
    </row>
    <row r="47" spans="1:10" x14ac:dyDescent="0.25">
      <c r="A47" t="s">
        <v>81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v>2750</v>
      </c>
      <c r="H47">
        <v>50</v>
      </c>
      <c r="I47">
        <v>1.2</v>
      </c>
      <c r="J47">
        <v>2.8</v>
      </c>
    </row>
    <row r="48" spans="1:10" x14ac:dyDescent="0.25">
      <c r="A48" t="s">
        <v>81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v>50</v>
      </c>
      <c r="H48">
        <v>150</v>
      </c>
      <c r="I48">
        <v>2.9</v>
      </c>
      <c r="J48">
        <v>1.1000000000000001</v>
      </c>
    </row>
    <row r="49" spans="1:10" x14ac:dyDescent="0.25">
      <c r="A49" t="s">
        <v>81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v>3259</v>
      </c>
      <c r="H49">
        <v>1410</v>
      </c>
      <c r="I49">
        <v>0.35</v>
      </c>
      <c r="J49">
        <v>1.95</v>
      </c>
    </row>
    <row r="50" spans="1:10" x14ac:dyDescent="0.25">
      <c r="A50" t="s">
        <v>81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v>2750</v>
      </c>
      <c r="H50">
        <v>2620</v>
      </c>
      <c r="I50">
        <v>1.2</v>
      </c>
      <c r="J50">
        <v>2.8</v>
      </c>
    </row>
    <row r="51" spans="1:10" x14ac:dyDescent="0.25">
      <c r="A51" t="s">
        <v>81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v>150</v>
      </c>
      <c r="H51">
        <v>3050</v>
      </c>
      <c r="I51">
        <v>4.5999999999999996</v>
      </c>
      <c r="J51">
        <v>1.1000000000000001</v>
      </c>
    </row>
    <row r="52" spans="1:10" x14ac:dyDescent="0.25">
      <c r="A52" t="s">
        <v>81</v>
      </c>
      <c r="B52" t="s">
        <v>26</v>
      </c>
      <c r="C52">
        <v>4</v>
      </c>
      <c r="D52">
        <v>1</v>
      </c>
      <c r="E52" t="s">
        <v>18</v>
      </c>
      <c r="F52" t="s">
        <v>18</v>
      </c>
      <c r="G52">
        <v>3399</v>
      </c>
      <c r="H52">
        <v>3399</v>
      </c>
      <c r="I52">
        <v>3.75</v>
      </c>
      <c r="J52">
        <v>1.1000000000000001</v>
      </c>
    </row>
    <row r="53" spans="1:10" x14ac:dyDescent="0.25">
      <c r="A53" t="s">
        <v>81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v>10</v>
      </c>
      <c r="H53">
        <v>3399</v>
      </c>
      <c r="I53">
        <v>4.5999999999999996</v>
      </c>
      <c r="J53">
        <v>1.1000000000000001</v>
      </c>
    </row>
    <row r="54" spans="1:10" x14ac:dyDescent="0.25">
      <c r="A54" t="s">
        <v>81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v>2335</v>
      </c>
      <c r="H54">
        <v>150</v>
      </c>
      <c r="I54">
        <v>1.2</v>
      </c>
      <c r="J54">
        <v>1.1000000000000001</v>
      </c>
    </row>
    <row r="55" spans="1:10" x14ac:dyDescent="0.25">
      <c r="A55" t="s">
        <v>81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v>150</v>
      </c>
      <c r="H55">
        <v>2920</v>
      </c>
      <c r="I55">
        <v>2.9</v>
      </c>
      <c r="J55">
        <v>0.25</v>
      </c>
    </row>
    <row r="56" spans="1:10" x14ac:dyDescent="0.25">
      <c r="A56" t="s">
        <v>82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v>2620</v>
      </c>
      <c r="H56">
        <v>2750</v>
      </c>
      <c r="I56">
        <v>2.0499999999999998</v>
      </c>
      <c r="J56">
        <v>2.8</v>
      </c>
    </row>
    <row r="57" spans="1:10" x14ac:dyDescent="0.25">
      <c r="A57" t="s">
        <v>82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v>2920</v>
      </c>
      <c r="H57">
        <v>150</v>
      </c>
      <c r="I57">
        <v>2.9</v>
      </c>
      <c r="J57">
        <v>3.65</v>
      </c>
    </row>
    <row r="58" spans="1:10" x14ac:dyDescent="0.25">
      <c r="A58" t="s">
        <v>82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v>2750</v>
      </c>
      <c r="H58">
        <v>150</v>
      </c>
      <c r="I58">
        <v>2.0499999999999998</v>
      </c>
      <c r="J58">
        <v>3.65</v>
      </c>
    </row>
    <row r="59" spans="1:10" x14ac:dyDescent="0.25">
      <c r="A59" t="s">
        <v>82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v>150</v>
      </c>
      <c r="H59">
        <v>3399</v>
      </c>
      <c r="I59">
        <v>0.35</v>
      </c>
      <c r="J59">
        <v>1.1000000000000001</v>
      </c>
    </row>
    <row r="60" spans="1:10" x14ac:dyDescent="0.25">
      <c r="A60" t="s">
        <v>82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v>1410</v>
      </c>
      <c r="H60">
        <v>50</v>
      </c>
      <c r="I60">
        <v>1.2</v>
      </c>
      <c r="J60">
        <v>3.65</v>
      </c>
    </row>
    <row r="61" spans="1:10" x14ac:dyDescent="0.25">
      <c r="A61" t="s">
        <v>82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v>3050</v>
      </c>
      <c r="H61">
        <v>3259</v>
      </c>
      <c r="I61">
        <v>1.2</v>
      </c>
      <c r="J61">
        <v>2.8</v>
      </c>
    </row>
    <row r="62" spans="1:10" x14ac:dyDescent="0.25">
      <c r="A62" t="s">
        <v>82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v>10</v>
      </c>
      <c r="H62">
        <v>150</v>
      </c>
      <c r="I62">
        <v>1.2</v>
      </c>
      <c r="J62">
        <v>0.25</v>
      </c>
    </row>
    <row r="63" spans="1:10" x14ac:dyDescent="0.25">
      <c r="A63" t="s">
        <v>82</v>
      </c>
      <c r="B63" t="s">
        <v>17</v>
      </c>
      <c r="C63">
        <v>1</v>
      </c>
      <c r="D63">
        <v>2</v>
      </c>
      <c r="E63" t="s">
        <v>18</v>
      </c>
      <c r="F63" t="s">
        <v>18</v>
      </c>
      <c r="G63">
        <v>3399</v>
      </c>
      <c r="H63">
        <v>3399</v>
      </c>
      <c r="I63">
        <v>1.2</v>
      </c>
      <c r="J63">
        <v>1.95</v>
      </c>
    </row>
    <row r="64" spans="1:10" x14ac:dyDescent="0.25">
      <c r="A64" t="s">
        <v>82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v>50</v>
      </c>
      <c r="H64">
        <v>2335</v>
      </c>
      <c r="I64">
        <v>1.2</v>
      </c>
      <c r="J64"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I2" sqref="I2:I19"/>
    </sheetView>
  </sheetViews>
  <sheetFormatPr baseColWidth="10" defaultRowHeight="15" x14ac:dyDescent="0.25"/>
  <cols>
    <col min="1" max="1" width="4.140625" bestFit="1" customWidth="1"/>
    <col min="2" max="2" width="19.85546875" bestFit="1" customWidth="1"/>
    <col min="3" max="10" width="5.42578125" customWidth="1"/>
  </cols>
  <sheetData>
    <row r="1" spans="1:10" s="1" customFormat="1" x14ac:dyDescent="0.25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</row>
    <row r="2" spans="1:10" x14ac:dyDescent="0.25">
      <c r="A2">
        <v>1</v>
      </c>
      <c r="B2" t="s">
        <v>26</v>
      </c>
      <c r="C2">
        <v>7</v>
      </c>
      <c r="D2">
        <v>5</v>
      </c>
      <c r="E2">
        <v>1</v>
      </c>
      <c r="F2">
        <v>1</v>
      </c>
      <c r="G2">
        <v>10</v>
      </c>
      <c r="H2">
        <v>3</v>
      </c>
      <c r="I2">
        <f>G2-H2</f>
        <v>7</v>
      </c>
      <c r="J2">
        <v>16</v>
      </c>
    </row>
    <row r="3" spans="1:10" x14ac:dyDescent="0.25">
      <c r="A3">
        <v>2</v>
      </c>
      <c r="B3" t="s">
        <v>43</v>
      </c>
      <c r="C3">
        <v>7</v>
      </c>
      <c r="D3">
        <v>5</v>
      </c>
      <c r="E3">
        <v>1</v>
      </c>
      <c r="F3">
        <v>1</v>
      </c>
      <c r="G3">
        <v>15</v>
      </c>
      <c r="H3">
        <v>9</v>
      </c>
      <c r="I3">
        <f t="shared" ref="I3:I19" si="0">G3-H3</f>
        <v>6</v>
      </c>
      <c r="J3">
        <v>16</v>
      </c>
    </row>
    <row r="4" spans="1:10" x14ac:dyDescent="0.25">
      <c r="A4">
        <v>3</v>
      </c>
      <c r="B4" t="s">
        <v>39</v>
      </c>
      <c r="C4">
        <v>7</v>
      </c>
      <c r="D4">
        <v>4</v>
      </c>
      <c r="E4">
        <v>2</v>
      </c>
      <c r="F4">
        <v>1</v>
      </c>
      <c r="G4">
        <v>11</v>
      </c>
      <c r="H4">
        <v>4</v>
      </c>
      <c r="I4">
        <f t="shared" si="0"/>
        <v>7</v>
      </c>
      <c r="J4">
        <v>14</v>
      </c>
    </row>
    <row r="5" spans="1:10" x14ac:dyDescent="0.25">
      <c r="A5">
        <v>4</v>
      </c>
      <c r="B5" t="s">
        <v>9</v>
      </c>
      <c r="C5">
        <v>7</v>
      </c>
      <c r="D5">
        <v>4</v>
      </c>
      <c r="E5">
        <v>1</v>
      </c>
      <c r="F5">
        <v>2</v>
      </c>
      <c r="G5">
        <v>14</v>
      </c>
      <c r="H5">
        <v>11</v>
      </c>
      <c r="I5">
        <f t="shared" si="0"/>
        <v>3</v>
      </c>
      <c r="J5">
        <v>13</v>
      </c>
    </row>
    <row r="6" spans="1:10" x14ac:dyDescent="0.25">
      <c r="A6">
        <v>5</v>
      </c>
      <c r="B6" t="s">
        <v>15</v>
      </c>
      <c r="C6">
        <v>7</v>
      </c>
      <c r="D6">
        <v>4</v>
      </c>
      <c r="E6">
        <v>1</v>
      </c>
      <c r="F6">
        <v>2</v>
      </c>
      <c r="G6">
        <v>8</v>
      </c>
      <c r="H6">
        <v>5</v>
      </c>
      <c r="I6">
        <f t="shared" si="0"/>
        <v>3</v>
      </c>
      <c r="J6">
        <v>13</v>
      </c>
    </row>
    <row r="7" spans="1:10" x14ac:dyDescent="0.25">
      <c r="A7">
        <v>6</v>
      </c>
      <c r="B7" t="s">
        <v>23</v>
      </c>
      <c r="C7">
        <v>7</v>
      </c>
      <c r="D7">
        <v>4</v>
      </c>
      <c r="E7">
        <v>0</v>
      </c>
      <c r="F7">
        <v>3</v>
      </c>
      <c r="G7">
        <v>15</v>
      </c>
      <c r="H7">
        <v>12</v>
      </c>
      <c r="I7">
        <f t="shared" si="0"/>
        <v>3</v>
      </c>
      <c r="J7">
        <v>12</v>
      </c>
    </row>
    <row r="8" spans="1:10" x14ac:dyDescent="0.25">
      <c r="A8">
        <v>7</v>
      </c>
      <c r="B8" t="s">
        <v>12</v>
      </c>
      <c r="C8">
        <v>7</v>
      </c>
      <c r="D8">
        <v>3</v>
      </c>
      <c r="E8">
        <v>3</v>
      </c>
      <c r="F8">
        <v>1</v>
      </c>
      <c r="G8">
        <v>10</v>
      </c>
      <c r="H8">
        <v>7</v>
      </c>
      <c r="I8">
        <f t="shared" si="0"/>
        <v>3</v>
      </c>
      <c r="J8">
        <v>12</v>
      </c>
    </row>
    <row r="9" spans="1:10" x14ac:dyDescent="0.25">
      <c r="A9">
        <v>8</v>
      </c>
      <c r="B9" t="s">
        <v>32</v>
      </c>
      <c r="C9">
        <v>7</v>
      </c>
      <c r="D9">
        <v>3</v>
      </c>
      <c r="E9">
        <v>2</v>
      </c>
      <c r="F9">
        <v>2</v>
      </c>
      <c r="G9">
        <v>13</v>
      </c>
      <c r="H9">
        <v>10</v>
      </c>
      <c r="I9">
        <f t="shared" si="0"/>
        <v>3</v>
      </c>
      <c r="J9">
        <v>11</v>
      </c>
    </row>
    <row r="10" spans="1:10" x14ac:dyDescent="0.25">
      <c r="A10">
        <v>9</v>
      </c>
      <c r="B10" t="s">
        <v>37</v>
      </c>
      <c r="C10">
        <v>7</v>
      </c>
      <c r="D10">
        <v>3</v>
      </c>
      <c r="E10">
        <v>2</v>
      </c>
      <c r="F10">
        <v>2</v>
      </c>
      <c r="G10">
        <v>11</v>
      </c>
      <c r="H10">
        <v>8</v>
      </c>
      <c r="I10">
        <f t="shared" si="0"/>
        <v>3</v>
      </c>
      <c r="J10">
        <v>11</v>
      </c>
    </row>
    <row r="11" spans="1:10" x14ac:dyDescent="0.25">
      <c r="A11">
        <v>10</v>
      </c>
      <c r="B11" t="s">
        <v>42</v>
      </c>
      <c r="C11">
        <v>7</v>
      </c>
      <c r="D11">
        <v>3</v>
      </c>
      <c r="E11">
        <v>1</v>
      </c>
      <c r="F11">
        <v>3</v>
      </c>
      <c r="G11">
        <v>10</v>
      </c>
      <c r="H11">
        <v>8</v>
      </c>
      <c r="I11">
        <f t="shared" si="0"/>
        <v>2</v>
      </c>
      <c r="J11">
        <v>10</v>
      </c>
    </row>
    <row r="12" spans="1:10" x14ac:dyDescent="0.25">
      <c r="A12">
        <v>11</v>
      </c>
      <c r="B12" t="s">
        <v>24</v>
      </c>
      <c r="C12">
        <v>7</v>
      </c>
      <c r="D12">
        <v>3</v>
      </c>
      <c r="E12">
        <v>1</v>
      </c>
      <c r="F12">
        <v>3</v>
      </c>
      <c r="G12">
        <v>10</v>
      </c>
      <c r="H12">
        <v>10</v>
      </c>
      <c r="I12">
        <f t="shared" si="0"/>
        <v>0</v>
      </c>
      <c r="J12">
        <v>10</v>
      </c>
    </row>
    <row r="13" spans="1:10" x14ac:dyDescent="0.25">
      <c r="A13">
        <v>12</v>
      </c>
      <c r="B13" t="s">
        <v>19</v>
      </c>
      <c r="C13">
        <v>7</v>
      </c>
      <c r="D13">
        <v>2</v>
      </c>
      <c r="E13">
        <v>2</v>
      </c>
      <c r="F13">
        <v>3</v>
      </c>
      <c r="G13">
        <v>14</v>
      </c>
      <c r="H13">
        <v>13</v>
      </c>
      <c r="I13">
        <f t="shared" si="0"/>
        <v>1</v>
      </c>
      <c r="J13">
        <v>8</v>
      </c>
    </row>
    <row r="14" spans="1:10" x14ac:dyDescent="0.25">
      <c r="A14">
        <v>13</v>
      </c>
      <c r="B14" t="s">
        <v>30</v>
      </c>
      <c r="C14">
        <v>7</v>
      </c>
      <c r="D14">
        <v>2</v>
      </c>
      <c r="E14">
        <v>1</v>
      </c>
      <c r="F14">
        <v>4</v>
      </c>
      <c r="G14">
        <v>13</v>
      </c>
      <c r="H14">
        <v>16</v>
      </c>
      <c r="I14">
        <f t="shared" si="0"/>
        <v>-3</v>
      </c>
      <c r="J14">
        <v>7</v>
      </c>
    </row>
    <row r="15" spans="1:10" x14ac:dyDescent="0.25">
      <c r="A15">
        <v>14</v>
      </c>
      <c r="B15" t="s">
        <v>27</v>
      </c>
      <c r="C15">
        <v>7</v>
      </c>
      <c r="D15">
        <v>1</v>
      </c>
      <c r="E15">
        <v>4</v>
      </c>
      <c r="F15">
        <v>2</v>
      </c>
      <c r="G15">
        <v>6</v>
      </c>
      <c r="H15">
        <v>9</v>
      </c>
      <c r="I15">
        <f t="shared" si="0"/>
        <v>-3</v>
      </c>
      <c r="J15">
        <v>7</v>
      </c>
    </row>
    <row r="16" spans="1:10" x14ac:dyDescent="0.25">
      <c r="A16">
        <v>15</v>
      </c>
      <c r="B16" t="s">
        <v>62</v>
      </c>
      <c r="C16">
        <v>7</v>
      </c>
      <c r="D16">
        <v>2</v>
      </c>
      <c r="E16">
        <v>1</v>
      </c>
      <c r="F16">
        <v>4</v>
      </c>
      <c r="G16">
        <v>9</v>
      </c>
      <c r="H16">
        <v>16</v>
      </c>
      <c r="I16">
        <f t="shared" si="0"/>
        <v>-7</v>
      </c>
      <c r="J16">
        <v>7</v>
      </c>
    </row>
    <row r="17" spans="1:10" x14ac:dyDescent="0.25">
      <c r="A17">
        <v>16</v>
      </c>
      <c r="B17" t="s">
        <v>17</v>
      </c>
      <c r="C17">
        <v>7</v>
      </c>
      <c r="D17">
        <v>1</v>
      </c>
      <c r="E17">
        <v>1</v>
      </c>
      <c r="F17">
        <v>5</v>
      </c>
      <c r="G17">
        <v>5</v>
      </c>
      <c r="H17">
        <v>13</v>
      </c>
      <c r="I17">
        <f t="shared" si="0"/>
        <v>-8</v>
      </c>
      <c r="J17">
        <v>4</v>
      </c>
    </row>
    <row r="18" spans="1:10" x14ac:dyDescent="0.25">
      <c r="A18">
        <v>17</v>
      </c>
      <c r="B18" t="s">
        <v>44</v>
      </c>
      <c r="C18">
        <v>7</v>
      </c>
      <c r="D18">
        <v>0</v>
      </c>
      <c r="E18">
        <v>2</v>
      </c>
      <c r="F18">
        <v>5</v>
      </c>
      <c r="G18">
        <v>6</v>
      </c>
      <c r="H18">
        <v>16</v>
      </c>
      <c r="I18">
        <f t="shared" si="0"/>
        <v>-10</v>
      </c>
      <c r="J18">
        <v>2</v>
      </c>
    </row>
    <row r="19" spans="1:10" x14ac:dyDescent="0.25">
      <c r="A19">
        <v>18</v>
      </c>
      <c r="B19" t="s">
        <v>5</v>
      </c>
      <c r="C19">
        <v>7</v>
      </c>
      <c r="D19">
        <v>0</v>
      </c>
      <c r="E19">
        <v>2</v>
      </c>
      <c r="F19">
        <v>5</v>
      </c>
      <c r="G19">
        <v>5</v>
      </c>
      <c r="H19">
        <v>15</v>
      </c>
      <c r="I19">
        <f t="shared" si="0"/>
        <v>-10</v>
      </c>
      <c r="J19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B19" sqref="B19"/>
    </sheetView>
  </sheetViews>
  <sheetFormatPr baseColWidth="10" defaultRowHeight="15" x14ac:dyDescent="0.25"/>
  <cols>
    <col min="1" max="1" width="6.42578125" bestFit="1" customWidth="1"/>
    <col min="2" max="2" width="19.85546875" bestFit="1" customWidth="1"/>
    <col min="3" max="10" width="5.5703125" customWidth="1"/>
    <col min="11" max="11" width="34" bestFit="1" customWidth="1"/>
  </cols>
  <sheetData>
    <row r="1" spans="1:11" s="1" customFormat="1" x14ac:dyDescent="0.25">
      <c r="A1" s="1" t="s">
        <v>93</v>
      </c>
      <c r="B1" s="1" t="s">
        <v>0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94</v>
      </c>
    </row>
    <row r="2" spans="1:11" x14ac:dyDescent="0.25">
      <c r="A2">
        <v>1</v>
      </c>
      <c r="B2" t="s">
        <v>12</v>
      </c>
      <c r="C2">
        <v>24</v>
      </c>
      <c r="D2">
        <v>15</v>
      </c>
      <c r="E2">
        <v>7</v>
      </c>
      <c r="F2">
        <v>2</v>
      </c>
      <c r="G2">
        <v>40</v>
      </c>
      <c r="H2">
        <v>15</v>
      </c>
      <c r="I2">
        <v>25</v>
      </c>
      <c r="J2">
        <v>52</v>
      </c>
      <c r="K2" t="s">
        <v>95</v>
      </c>
    </row>
    <row r="3" spans="1:11" x14ac:dyDescent="0.25">
      <c r="A3">
        <v>2</v>
      </c>
      <c r="B3" t="s">
        <v>43</v>
      </c>
      <c r="C3">
        <v>24</v>
      </c>
      <c r="D3">
        <v>13</v>
      </c>
      <c r="E3">
        <v>6</v>
      </c>
      <c r="F3">
        <v>5</v>
      </c>
      <c r="G3">
        <v>39</v>
      </c>
      <c r="H3">
        <v>24</v>
      </c>
      <c r="I3">
        <v>15</v>
      </c>
      <c r="J3">
        <v>45</v>
      </c>
      <c r="K3" t="s">
        <v>95</v>
      </c>
    </row>
    <row r="4" spans="1:11" x14ac:dyDescent="0.25">
      <c r="A4">
        <v>3</v>
      </c>
      <c r="B4" t="s">
        <v>26</v>
      </c>
      <c r="C4">
        <v>24</v>
      </c>
      <c r="D4">
        <v>12</v>
      </c>
      <c r="E4">
        <v>6</v>
      </c>
      <c r="F4">
        <v>6</v>
      </c>
      <c r="G4">
        <v>31</v>
      </c>
      <c r="H4">
        <v>21</v>
      </c>
      <c r="I4">
        <v>10</v>
      </c>
      <c r="J4">
        <v>42</v>
      </c>
      <c r="K4" t="s">
        <v>96</v>
      </c>
    </row>
    <row r="5" spans="1:11" x14ac:dyDescent="0.25">
      <c r="A5">
        <v>4</v>
      </c>
      <c r="B5" t="s">
        <v>62</v>
      </c>
      <c r="C5">
        <v>24</v>
      </c>
      <c r="D5">
        <v>12</v>
      </c>
      <c r="E5">
        <v>5</v>
      </c>
      <c r="F5">
        <v>7</v>
      </c>
      <c r="G5">
        <v>34</v>
      </c>
      <c r="H5">
        <v>37</v>
      </c>
      <c r="I5">
        <v>-3</v>
      </c>
      <c r="J5">
        <v>41</v>
      </c>
      <c r="K5" t="s">
        <v>96</v>
      </c>
    </row>
    <row r="6" spans="1:11" x14ac:dyDescent="0.25">
      <c r="A6">
        <v>5</v>
      </c>
      <c r="B6" t="s">
        <v>37</v>
      </c>
      <c r="C6">
        <v>24</v>
      </c>
      <c r="D6">
        <v>11</v>
      </c>
      <c r="E6">
        <v>6</v>
      </c>
      <c r="F6">
        <v>7</v>
      </c>
      <c r="G6">
        <v>40</v>
      </c>
      <c r="H6">
        <v>28</v>
      </c>
      <c r="I6">
        <v>12</v>
      </c>
      <c r="J6">
        <v>39</v>
      </c>
      <c r="K6" t="s">
        <v>97</v>
      </c>
    </row>
    <row r="7" spans="1:11" x14ac:dyDescent="0.25">
      <c r="A7">
        <v>6</v>
      </c>
      <c r="B7" t="s">
        <v>23</v>
      </c>
      <c r="C7">
        <v>24</v>
      </c>
      <c r="D7">
        <v>12</v>
      </c>
      <c r="E7">
        <v>3</v>
      </c>
      <c r="F7">
        <v>9</v>
      </c>
      <c r="G7">
        <v>36</v>
      </c>
      <c r="H7">
        <v>36</v>
      </c>
      <c r="I7">
        <v>0</v>
      </c>
      <c r="J7">
        <v>39</v>
      </c>
      <c r="K7" t="s">
        <v>97</v>
      </c>
    </row>
    <row r="8" spans="1:11" x14ac:dyDescent="0.25">
      <c r="A8">
        <v>7</v>
      </c>
      <c r="B8" t="s">
        <v>17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>
        <v>4</v>
      </c>
      <c r="J8">
        <v>37</v>
      </c>
      <c r="K8" t="s">
        <v>97</v>
      </c>
    </row>
    <row r="9" spans="1:11" x14ac:dyDescent="0.25">
      <c r="A9">
        <v>8</v>
      </c>
      <c r="B9" t="s">
        <v>9</v>
      </c>
      <c r="C9">
        <v>24</v>
      </c>
      <c r="D9">
        <v>9</v>
      </c>
      <c r="E9">
        <v>7</v>
      </c>
      <c r="F9">
        <v>8</v>
      </c>
      <c r="G9">
        <v>34</v>
      </c>
      <c r="H9">
        <v>29</v>
      </c>
      <c r="I9">
        <v>5</v>
      </c>
      <c r="J9">
        <v>34</v>
      </c>
      <c r="K9" t="s">
        <v>97</v>
      </c>
    </row>
    <row r="10" spans="1:11" x14ac:dyDescent="0.25">
      <c r="A10">
        <v>9</v>
      </c>
      <c r="B10" t="s">
        <v>39</v>
      </c>
      <c r="C10">
        <v>24</v>
      </c>
      <c r="D10">
        <v>9</v>
      </c>
      <c r="E10">
        <v>7</v>
      </c>
      <c r="F10">
        <v>8</v>
      </c>
      <c r="G10">
        <v>26</v>
      </c>
      <c r="H10">
        <v>23</v>
      </c>
      <c r="I10">
        <v>3</v>
      </c>
      <c r="J10">
        <v>34</v>
      </c>
      <c r="K10" t="s">
        <v>98</v>
      </c>
    </row>
    <row r="11" spans="1:11" x14ac:dyDescent="0.25">
      <c r="A11">
        <v>10</v>
      </c>
      <c r="B11" t="s">
        <v>42</v>
      </c>
      <c r="C11">
        <v>24</v>
      </c>
      <c r="D11">
        <v>8</v>
      </c>
      <c r="E11">
        <v>5</v>
      </c>
      <c r="F11">
        <v>11</v>
      </c>
      <c r="G11">
        <v>38</v>
      </c>
      <c r="H11">
        <v>38</v>
      </c>
      <c r="I11">
        <v>0</v>
      </c>
      <c r="J11">
        <v>29</v>
      </c>
      <c r="K11" t="s">
        <v>98</v>
      </c>
    </row>
    <row r="12" spans="1:11" x14ac:dyDescent="0.25">
      <c r="A12">
        <v>11</v>
      </c>
      <c r="B12" t="s">
        <v>19</v>
      </c>
      <c r="C12">
        <v>24</v>
      </c>
      <c r="D12">
        <v>7</v>
      </c>
      <c r="E12">
        <v>8</v>
      </c>
      <c r="F12">
        <v>9</v>
      </c>
      <c r="G12">
        <v>32</v>
      </c>
      <c r="H12">
        <v>33</v>
      </c>
      <c r="I12">
        <v>-1</v>
      </c>
      <c r="J12">
        <v>29</v>
      </c>
      <c r="K12" t="s">
        <v>98</v>
      </c>
    </row>
    <row r="13" spans="1:11" x14ac:dyDescent="0.25">
      <c r="A13">
        <v>12</v>
      </c>
      <c r="B13" t="s">
        <v>15</v>
      </c>
      <c r="C13">
        <v>24</v>
      </c>
      <c r="D13">
        <v>8</v>
      </c>
      <c r="E13">
        <v>5</v>
      </c>
      <c r="F13">
        <v>11</v>
      </c>
      <c r="G13">
        <v>20</v>
      </c>
      <c r="H13">
        <v>23</v>
      </c>
      <c r="I13">
        <v>-3</v>
      </c>
      <c r="J13">
        <v>29</v>
      </c>
      <c r="K13" t="s">
        <v>98</v>
      </c>
    </row>
    <row r="14" spans="1:11" x14ac:dyDescent="0.25">
      <c r="A14">
        <v>13</v>
      </c>
      <c r="B14" t="s">
        <v>32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>
        <v>-15</v>
      </c>
      <c r="J14">
        <v>27</v>
      </c>
      <c r="K14" t="s">
        <v>98</v>
      </c>
    </row>
    <row r="15" spans="1:11" x14ac:dyDescent="0.25">
      <c r="A15">
        <v>14</v>
      </c>
      <c r="B15" t="s">
        <v>24</v>
      </c>
      <c r="C15">
        <v>24</v>
      </c>
      <c r="D15">
        <v>7</v>
      </c>
      <c r="E15">
        <v>5</v>
      </c>
      <c r="F15">
        <v>12</v>
      </c>
      <c r="G15">
        <v>31</v>
      </c>
      <c r="H15">
        <v>41</v>
      </c>
      <c r="I15">
        <v>-10</v>
      </c>
      <c r="J15">
        <v>26</v>
      </c>
      <c r="K15" t="s">
        <v>99</v>
      </c>
    </row>
    <row r="16" spans="1:11" x14ac:dyDescent="0.25">
      <c r="A16">
        <v>15</v>
      </c>
      <c r="B16" t="s">
        <v>27</v>
      </c>
      <c r="C16">
        <v>24</v>
      </c>
      <c r="D16">
        <v>6</v>
      </c>
      <c r="E16">
        <v>7</v>
      </c>
      <c r="F16">
        <v>11</v>
      </c>
      <c r="G16">
        <v>23</v>
      </c>
      <c r="H16">
        <v>33</v>
      </c>
      <c r="I16">
        <v>-10</v>
      </c>
      <c r="J16">
        <v>25</v>
      </c>
      <c r="K16" t="s">
        <v>99</v>
      </c>
    </row>
    <row r="17" spans="1:11" x14ac:dyDescent="0.25">
      <c r="A17">
        <v>16</v>
      </c>
      <c r="B17" t="s">
        <v>30</v>
      </c>
      <c r="C17">
        <v>24</v>
      </c>
      <c r="D17">
        <v>6</v>
      </c>
      <c r="E17">
        <v>6</v>
      </c>
      <c r="F17">
        <v>12</v>
      </c>
      <c r="G17">
        <v>36</v>
      </c>
      <c r="H17">
        <v>44</v>
      </c>
      <c r="I17">
        <v>-8</v>
      </c>
      <c r="J17">
        <v>24</v>
      </c>
      <c r="K17" t="s">
        <v>100</v>
      </c>
    </row>
    <row r="18" spans="1:11" x14ac:dyDescent="0.25">
      <c r="A18">
        <v>17</v>
      </c>
      <c r="B18" t="s">
        <v>5</v>
      </c>
      <c r="C18">
        <v>24</v>
      </c>
      <c r="D18">
        <v>5</v>
      </c>
      <c r="E18">
        <v>7</v>
      </c>
      <c r="F18">
        <v>12</v>
      </c>
      <c r="G18">
        <v>27</v>
      </c>
      <c r="H18">
        <v>36</v>
      </c>
      <c r="I18">
        <v>-9</v>
      </c>
      <c r="J18">
        <v>22</v>
      </c>
      <c r="K18" t="s">
        <v>101</v>
      </c>
    </row>
    <row r="19" spans="1:11" x14ac:dyDescent="0.25">
      <c r="A19">
        <v>18</v>
      </c>
      <c r="B19" t="s">
        <v>44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>
        <v>-15</v>
      </c>
      <c r="J19">
        <v>20</v>
      </c>
      <c r="K19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Data_Geografica</vt:lpstr>
      <vt:lpstr>Partidos_Fecha</vt:lpstr>
      <vt:lpstr>Resultados_Clausura</vt:lpstr>
      <vt:lpstr>Tabla_Clausura</vt:lpstr>
      <vt:lpstr>Tabla_Acumulada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</cp:lastModifiedBy>
  <dcterms:created xsi:type="dcterms:W3CDTF">2026-09-05T00:54:48Z</dcterms:created>
  <dcterms:modified xsi:type="dcterms:W3CDTF">2026-09-05T03:02:02Z</dcterms:modified>
</cp:coreProperties>
</file>