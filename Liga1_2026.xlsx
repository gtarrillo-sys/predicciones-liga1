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B62EC515-B3E8-4D4C-91F9-79D7D22AEA89}" xr6:coauthVersionLast="45" xr6:coauthVersionMax="47" xr10:uidLastSave="{00000000-0000-0000-0000-000000000000}"/>
  <bookViews>
    <workbookView xWindow="38280" yWindow="3015" windowWidth="29040" windowHeight="15840" activeTab="7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Resultados_Apertura!$A$1:$L$154</definedName>
    <definedName name="_xlnm._FilterDatabase" localSheetId="3" hidden="1">Resultados_Clausura!$A$1:$P$100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6" i="8"/>
  <c r="D2" i="8"/>
  <c r="I91" i="3"/>
  <c r="J91" i="3"/>
  <c r="K91" i="3"/>
  <c r="L91" i="3"/>
  <c r="M91" i="3"/>
  <c r="N91" i="3"/>
  <c r="K19" i="2" l="1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J13" i="5"/>
  <c r="J16" i="5"/>
  <c r="J17" i="5"/>
  <c r="J19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" i="5"/>
  <c r="I92" i="3"/>
  <c r="J92" i="3"/>
  <c r="K92" i="3"/>
  <c r="L92" i="3"/>
  <c r="M92" i="3"/>
  <c r="N92" i="3"/>
  <c r="I93" i="3"/>
  <c r="J93" i="3"/>
  <c r="K93" i="3"/>
  <c r="L93" i="3"/>
  <c r="M93" i="3"/>
  <c r="N93" i="3"/>
  <c r="I94" i="3"/>
  <c r="J94" i="3"/>
  <c r="K94" i="3"/>
  <c r="L94" i="3"/>
  <c r="M94" i="3"/>
  <c r="N94" i="3"/>
  <c r="I95" i="3"/>
  <c r="J95" i="3"/>
  <c r="K95" i="3"/>
  <c r="L95" i="3"/>
  <c r="M95" i="3"/>
  <c r="N95" i="3"/>
  <c r="I96" i="3"/>
  <c r="J96" i="3"/>
  <c r="K96" i="3"/>
  <c r="L96" i="3"/>
  <c r="M96" i="3"/>
  <c r="N96" i="3"/>
  <c r="I97" i="3"/>
  <c r="J97" i="3"/>
  <c r="K97" i="3"/>
  <c r="L97" i="3"/>
  <c r="M97" i="3"/>
  <c r="N97" i="3"/>
  <c r="I98" i="3"/>
  <c r="J98" i="3"/>
  <c r="K98" i="3"/>
  <c r="L98" i="3"/>
  <c r="M98" i="3"/>
  <c r="N98" i="3"/>
  <c r="I99" i="3"/>
  <c r="J99" i="3"/>
  <c r="K99" i="3"/>
  <c r="L99" i="3"/>
  <c r="M99" i="3"/>
  <c r="N99" i="3"/>
  <c r="I100" i="3"/>
  <c r="J100" i="3"/>
  <c r="K100" i="3"/>
  <c r="L100" i="3"/>
  <c r="M100" i="3"/>
  <c r="N100" i="3"/>
  <c r="K82" i="3"/>
  <c r="L82" i="3"/>
  <c r="M82" i="3"/>
  <c r="N82" i="3"/>
  <c r="J82" i="3"/>
  <c r="I82" i="3"/>
  <c r="K83" i="3" l="1"/>
  <c r="L83" i="3"/>
  <c r="M83" i="3"/>
  <c r="N83" i="3"/>
  <c r="K84" i="3"/>
  <c r="L84" i="3"/>
  <c r="M84" i="3"/>
  <c r="N84" i="3"/>
  <c r="K85" i="3"/>
  <c r="L85" i="3"/>
  <c r="M85" i="3"/>
  <c r="N85" i="3"/>
  <c r="K86" i="3"/>
  <c r="L86" i="3"/>
  <c r="M86" i="3"/>
  <c r="N86" i="3"/>
  <c r="K87" i="3"/>
  <c r="L87" i="3"/>
  <c r="M87" i="3"/>
  <c r="N87" i="3"/>
  <c r="K88" i="3"/>
  <c r="L88" i="3"/>
  <c r="M88" i="3"/>
  <c r="N88" i="3"/>
  <c r="K89" i="3"/>
  <c r="L89" i="3"/>
  <c r="M89" i="3"/>
  <c r="N89" i="3"/>
  <c r="K90" i="3"/>
  <c r="L90" i="3"/>
  <c r="M90" i="3"/>
  <c r="N90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3" i="3"/>
  <c r="J3" i="3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I34" i="3"/>
  <c r="J34" i="3"/>
  <c r="I35" i="3"/>
  <c r="J35" i="3"/>
  <c r="I36" i="3"/>
  <c r="J36" i="3"/>
  <c r="I37" i="3"/>
  <c r="J37" i="3"/>
  <c r="I38" i="3"/>
  <c r="J38" i="3"/>
  <c r="I39" i="3"/>
  <c r="J39" i="3"/>
  <c r="I40" i="3"/>
  <c r="J40" i="3"/>
  <c r="I41" i="3"/>
  <c r="J41" i="3"/>
  <c r="I42" i="3"/>
  <c r="J42" i="3"/>
  <c r="I43" i="3"/>
  <c r="J43" i="3"/>
  <c r="I44" i="3"/>
  <c r="J44" i="3"/>
  <c r="I45" i="3"/>
  <c r="J45" i="3"/>
  <c r="I46" i="3"/>
  <c r="J46" i="3"/>
  <c r="I47" i="3"/>
  <c r="J47" i="3"/>
  <c r="I48" i="3"/>
  <c r="J48" i="3"/>
  <c r="I49" i="3"/>
  <c r="J49" i="3"/>
  <c r="I50" i="3"/>
  <c r="J50" i="3"/>
  <c r="I51" i="3"/>
  <c r="J51" i="3"/>
  <c r="I52" i="3"/>
  <c r="J52" i="3"/>
  <c r="I53" i="3"/>
  <c r="J53" i="3"/>
  <c r="I54" i="3"/>
  <c r="J54" i="3"/>
  <c r="I55" i="3"/>
  <c r="J55" i="3"/>
  <c r="I56" i="3"/>
  <c r="J56" i="3"/>
  <c r="I57" i="3"/>
  <c r="J57" i="3"/>
  <c r="I58" i="3"/>
  <c r="J58" i="3"/>
  <c r="I59" i="3"/>
  <c r="J59" i="3"/>
  <c r="I60" i="3"/>
  <c r="J60" i="3"/>
  <c r="I61" i="3"/>
  <c r="J61" i="3"/>
  <c r="I62" i="3"/>
  <c r="J62" i="3"/>
  <c r="I63" i="3"/>
  <c r="J63" i="3"/>
  <c r="I64" i="3"/>
  <c r="J64" i="3"/>
  <c r="I65" i="3"/>
  <c r="J65" i="3"/>
  <c r="I66" i="3"/>
  <c r="J66" i="3"/>
  <c r="I67" i="3"/>
  <c r="J67" i="3"/>
  <c r="I68" i="3"/>
  <c r="J68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J2" i="3"/>
  <c r="I2" i="3"/>
  <c r="K12" i="3" l="1"/>
  <c r="L12" i="3"/>
  <c r="M12" i="3"/>
  <c r="N12" i="3"/>
  <c r="K13" i="3"/>
  <c r="L13" i="3"/>
  <c r="M13" i="3"/>
  <c r="N13" i="3"/>
  <c r="K14" i="3"/>
  <c r="L14" i="3"/>
  <c r="M14" i="3"/>
  <c r="N14" i="3"/>
  <c r="K15" i="3"/>
  <c r="L15" i="3"/>
  <c r="M15" i="3"/>
  <c r="N15" i="3"/>
  <c r="K16" i="3"/>
  <c r="L16" i="3"/>
  <c r="M16" i="3"/>
  <c r="N16" i="3"/>
  <c r="K17" i="3"/>
  <c r="L17" i="3"/>
  <c r="M17" i="3"/>
  <c r="N17" i="3"/>
  <c r="K18" i="3"/>
  <c r="L18" i="3"/>
  <c r="M18" i="3"/>
  <c r="N18" i="3"/>
  <c r="K19" i="3"/>
  <c r="L19" i="3"/>
  <c r="M19" i="3"/>
  <c r="N19" i="3"/>
  <c r="K20" i="3"/>
  <c r="L20" i="3"/>
  <c r="M20" i="3"/>
  <c r="N20" i="3"/>
  <c r="K21" i="3"/>
  <c r="L21" i="3"/>
  <c r="M21" i="3"/>
  <c r="N21" i="3"/>
  <c r="K22" i="3"/>
  <c r="L22" i="3"/>
  <c r="M22" i="3"/>
  <c r="N22" i="3"/>
  <c r="K23" i="3"/>
  <c r="L23" i="3"/>
  <c r="M23" i="3"/>
  <c r="N23" i="3"/>
  <c r="K24" i="3"/>
  <c r="L24" i="3"/>
  <c r="M24" i="3"/>
  <c r="N24" i="3"/>
  <c r="K25" i="3"/>
  <c r="L25" i="3"/>
  <c r="M25" i="3"/>
  <c r="N25" i="3"/>
  <c r="K26" i="3"/>
  <c r="L26" i="3"/>
  <c r="M26" i="3"/>
  <c r="N26" i="3"/>
  <c r="K27" i="3"/>
  <c r="L27" i="3"/>
  <c r="M27" i="3"/>
  <c r="N27" i="3"/>
  <c r="K28" i="3"/>
  <c r="L28" i="3"/>
  <c r="M28" i="3"/>
  <c r="N28" i="3"/>
  <c r="K29" i="3"/>
  <c r="L29" i="3"/>
  <c r="M29" i="3"/>
  <c r="N29" i="3"/>
  <c r="K30" i="3"/>
  <c r="L30" i="3"/>
  <c r="M30" i="3"/>
  <c r="N30" i="3"/>
  <c r="K31" i="3"/>
  <c r="L31" i="3"/>
  <c r="M31" i="3"/>
  <c r="N31" i="3"/>
  <c r="K32" i="3"/>
  <c r="L32" i="3"/>
  <c r="M32" i="3"/>
  <c r="N32" i="3"/>
  <c r="K33" i="3"/>
  <c r="L33" i="3"/>
  <c r="M33" i="3"/>
  <c r="N33" i="3"/>
  <c r="K34" i="3"/>
  <c r="L34" i="3"/>
  <c r="M34" i="3"/>
  <c r="N34" i="3"/>
  <c r="K35" i="3"/>
  <c r="L35" i="3"/>
  <c r="M35" i="3"/>
  <c r="N35" i="3"/>
  <c r="K36" i="3"/>
  <c r="L36" i="3"/>
  <c r="M36" i="3"/>
  <c r="N36" i="3"/>
  <c r="K37" i="3"/>
  <c r="L37" i="3"/>
  <c r="M37" i="3"/>
  <c r="N37" i="3"/>
  <c r="K38" i="3"/>
  <c r="L38" i="3"/>
  <c r="M38" i="3"/>
  <c r="N38" i="3"/>
  <c r="K39" i="3"/>
  <c r="L39" i="3"/>
  <c r="M39" i="3"/>
  <c r="N39" i="3"/>
  <c r="K40" i="3"/>
  <c r="L40" i="3"/>
  <c r="M40" i="3"/>
  <c r="N40" i="3"/>
  <c r="K41" i="3"/>
  <c r="L41" i="3"/>
  <c r="M41" i="3"/>
  <c r="N41" i="3"/>
  <c r="K42" i="3"/>
  <c r="L42" i="3"/>
  <c r="M42" i="3"/>
  <c r="N42" i="3"/>
  <c r="K43" i="3"/>
  <c r="L43" i="3"/>
  <c r="M43" i="3"/>
  <c r="N43" i="3"/>
  <c r="K44" i="3"/>
  <c r="L44" i="3"/>
  <c r="M44" i="3"/>
  <c r="N44" i="3"/>
  <c r="K45" i="3"/>
  <c r="L45" i="3"/>
  <c r="M45" i="3"/>
  <c r="N45" i="3"/>
  <c r="K46" i="3"/>
  <c r="L46" i="3"/>
  <c r="M46" i="3"/>
  <c r="N46" i="3"/>
  <c r="K47" i="3"/>
  <c r="L47" i="3"/>
  <c r="M47" i="3"/>
  <c r="N47" i="3"/>
  <c r="K48" i="3"/>
  <c r="L48" i="3"/>
  <c r="M48" i="3"/>
  <c r="N48" i="3"/>
  <c r="K49" i="3"/>
  <c r="L49" i="3"/>
  <c r="M49" i="3"/>
  <c r="N49" i="3"/>
  <c r="K50" i="3"/>
  <c r="L50" i="3"/>
  <c r="M50" i="3"/>
  <c r="N50" i="3"/>
  <c r="K51" i="3"/>
  <c r="L51" i="3"/>
  <c r="M51" i="3"/>
  <c r="N51" i="3"/>
  <c r="K52" i="3"/>
  <c r="L52" i="3"/>
  <c r="M52" i="3"/>
  <c r="N52" i="3"/>
  <c r="K53" i="3"/>
  <c r="L53" i="3"/>
  <c r="M53" i="3"/>
  <c r="N53" i="3"/>
  <c r="K54" i="3"/>
  <c r="L54" i="3"/>
  <c r="M54" i="3"/>
  <c r="N54" i="3"/>
  <c r="K55" i="3"/>
  <c r="L55" i="3"/>
  <c r="M55" i="3"/>
  <c r="N55" i="3"/>
  <c r="K56" i="3"/>
  <c r="L56" i="3"/>
  <c r="M56" i="3"/>
  <c r="N56" i="3"/>
  <c r="K57" i="3"/>
  <c r="L57" i="3"/>
  <c r="M57" i="3"/>
  <c r="N57" i="3"/>
  <c r="K58" i="3"/>
  <c r="L58" i="3"/>
  <c r="M58" i="3"/>
  <c r="N58" i="3"/>
  <c r="K59" i="3"/>
  <c r="L59" i="3"/>
  <c r="M59" i="3"/>
  <c r="N59" i="3"/>
  <c r="K60" i="3"/>
  <c r="L60" i="3"/>
  <c r="M60" i="3"/>
  <c r="N60" i="3"/>
  <c r="K61" i="3"/>
  <c r="L61" i="3"/>
  <c r="M61" i="3"/>
  <c r="N61" i="3"/>
  <c r="K62" i="3"/>
  <c r="L62" i="3"/>
  <c r="M62" i="3"/>
  <c r="N62" i="3"/>
  <c r="K63" i="3"/>
  <c r="L63" i="3"/>
  <c r="M63" i="3"/>
  <c r="N63" i="3"/>
  <c r="K64" i="3"/>
  <c r="L64" i="3"/>
  <c r="M64" i="3"/>
  <c r="N64" i="3"/>
  <c r="K65" i="3"/>
  <c r="L65" i="3"/>
  <c r="M65" i="3"/>
  <c r="N65" i="3"/>
  <c r="K66" i="3"/>
  <c r="L66" i="3"/>
  <c r="M66" i="3"/>
  <c r="N66" i="3"/>
  <c r="K67" i="3"/>
  <c r="L67" i="3"/>
  <c r="M67" i="3"/>
  <c r="N67" i="3"/>
  <c r="K68" i="3"/>
  <c r="L68" i="3"/>
  <c r="M68" i="3"/>
  <c r="N68" i="3"/>
  <c r="K69" i="3"/>
  <c r="L69" i="3"/>
  <c r="M69" i="3"/>
  <c r="N69" i="3"/>
  <c r="K70" i="3"/>
  <c r="L70" i="3"/>
  <c r="M70" i="3"/>
  <c r="N70" i="3"/>
  <c r="K71" i="3"/>
  <c r="L71" i="3"/>
  <c r="M71" i="3"/>
  <c r="N71" i="3"/>
  <c r="K72" i="3"/>
  <c r="L72" i="3"/>
  <c r="M72" i="3"/>
  <c r="N72" i="3"/>
  <c r="K73" i="3"/>
  <c r="L73" i="3"/>
  <c r="M73" i="3"/>
  <c r="N73" i="3"/>
  <c r="K74" i="3"/>
  <c r="L74" i="3"/>
  <c r="M74" i="3"/>
  <c r="N74" i="3"/>
  <c r="K75" i="3"/>
  <c r="L75" i="3"/>
  <c r="M75" i="3"/>
  <c r="N75" i="3"/>
  <c r="K76" i="3"/>
  <c r="L76" i="3"/>
  <c r="M76" i="3"/>
  <c r="N76" i="3"/>
  <c r="K77" i="3"/>
  <c r="L77" i="3"/>
  <c r="M77" i="3"/>
  <c r="N77" i="3"/>
  <c r="K78" i="3"/>
  <c r="L78" i="3"/>
  <c r="M78" i="3"/>
  <c r="N78" i="3"/>
  <c r="K79" i="3"/>
  <c r="L79" i="3"/>
  <c r="M79" i="3"/>
  <c r="N79" i="3"/>
  <c r="K80" i="3"/>
  <c r="L80" i="3"/>
  <c r="M80" i="3"/>
  <c r="N80" i="3"/>
  <c r="K81" i="3"/>
  <c r="L81" i="3"/>
  <c r="M81" i="3"/>
  <c r="N81" i="3"/>
  <c r="N11" i="3"/>
  <c r="M11" i="3"/>
  <c r="L11" i="3"/>
  <c r="K11" i="3"/>
  <c r="K3" i="3"/>
  <c r="L3" i="3"/>
  <c r="M3" i="3"/>
  <c r="N3" i="3"/>
  <c r="K4" i="3"/>
  <c r="L4" i="3"/>
  <c r="M4" i="3"/>
  <c r="N4" i="3"/>
  <c r="K5" i="3"/>
  <c r="L5" i="3"/>
  <c r="M5" i="3"/>
  <c r="N5" i="3"/>
  <c r="K6" i="3"/>
  <c r="L6" i="3"/>
  <c r="M6" i="3"/>
  <c r="N6" i="3"/>
  <c r="K7" i="3"/>
  <c r="L7" i="3"/>
  <c r="M7" i="3"/>
  <c r="N7" i="3"/>
  <c r="K8" i="3"/>
  <c r="L8" i="3"/>
  <c r="M8" i="3"/>
  <c r="N8" i="3"/>
  <c r="K9" i="3"/>
  <c r="L9" i="3"/>
  <c r="M9" i="3"/>
  <c r="N9" i="3"/>
  <c r="K10" i="3"/>
  <c r="L10" i="3"/>
  <c r="M10" i="3"/>
  <c r="N10" i="3"/>
  <c r="N2" i="3"/>
  <c r="M2" i="3"/>
  <c r="L2" i="3"/>
  <c r="K2" i="3"/>
  <c r="P91" i="3" l="1"/>
  <c r="O91" i="3"/>
  <c r="O93" i="3" l="1"/>
  <c r="O94" i="3"/>
  <c r="O95" i="3"/>
  <c r="O92" i="3"/>
  <c r="O96" i="3"/>
  <c r="O97" i="3"/>
  <c r="O99" i="3"/>
  <c r="O100" i="3"/>
  <c r="O98" i="3"/>
  <c r="P96" i="3"/>
  <c r="P97" i="3"/>
  <c r="P100" i="3"/>
  <c r="P94" i="3"/>
  <c r="P92" i="3"/>
  <c r="P95" i="3"/>
  <c r="P93" i="3"/>
  <c r="P99" i="3"/>
  <c r="P98" i="3"/>
  <c r="O14" i="3"/>
  <c r="O82" i="3"/>
  <c r="P17" i="3"/>
  <c r="P82" i="3"/>
  <c r="O65" i="3"/>
  <c r="P3" i="3"/>
  <c r="O66" i="3"/>
  <c r="P38" i="3"/>
  <c r="P74" i="3"/>
  <c r="O51" i="3"/>
  <c r="P27" i="3"/>
  <c r="P76" i="3"/>
  <c r="O37" i="3"/>
  <c r="P13" i="3"/>
  <c r="P59" i="3"/>
  <c r="P33" i="3"/>
  <c r="O43" i="3"/>
  <c r="P2" i="3"/>
  <c r="P19" i="3"/>
  <c r="P56" i="3"/>
  <c r="O35" i="3"/>
  <c r="O29" i="3"/>
  <c r="P30" i="3"/>
  <c r="O40" i="3"/>
  <c r="O8" i="3"/>
  <c r="P8" i="3"/>
  <c r="P36" i="3"/>
  <c r="P61" i="3"/>
  <c r="P44" i="3"/>
  <c r="O46" i="3"/>
  <c r="P22" i="3"/>
  <c r="P25" i="3"/>
  <c r="O11" i="3"/>
  <c r="O47" i="3"/>
  <c r="O64" i="3"/>
  <c r="O72" i="3"/>
  <c r="O76" i="3"/>
  <c r="O78" i="3"/>
  <c r="P39" i="3"/>
  <c r="P77" i="3"/>
  <c r="O49" i="3"/>
  <c r="P37" i="3"/>
  <c r="P28" i="3"/>
  <c r="O2" i="3"/>
  <c r="O68" i="3"/>
  <c r="O57" i="3"/>
  <c r="O38" i="3"/>
  <c r="O71" i="3"/>
  <c r="O81" i="3"/>
  <c r="O13" i="3"/>
  <c r="O55" i="3"/>
  <c r="P46" i="3"/>
  <c r="P31" i="3"/>
  <c r="O50" i="3"/>
  <c r="P20" i="3"/>
  <c r="O61" i="3"/>
  <c r="P16" i="3"/>
  <c r="O63" i="3"/>
  <c r="O69" i="3"/>
  <c r="O62" i="3"/>
  <c r="P48" i="3"/>
  <c r="O7" i="3"/>
  <c r="P26" i="3"/>
  <c r="P51" i="3"/>
  <c r="O80" i="3"/>
  <c r="O16" i="3"/>
  <c r="O67" i="3"/>
  <c r="P55" i="3"/>
  <c r="P34" i="3"/>
  <c r="P41" i="3"/>
  <c r="P65" i="3"/>
  <c r="O5" i="3"/>
  <c r="P11" i="3"/>
  <c r="O15" i="3"/>
  <c r="P21" i="3"/>
  <c r="O75" i="3"/>
  <c r="P4" i="3"/>
  <c r="O6" i="3"/>
  <c r="O30" i="3"/>
  <c r="O33" i="3"/>
  <c r="P10" i="3"/>
  <c r="P60" i="3"/>
  <c r="P68" i="3"/>
  <c r="P57" i="3"/>
  <c r="P35" i="3"/>
  <c r="O19" i="3"/>
  <c r="O79" i="3"/>
  <c r="P73" i="3"/>
  <c r="P40" i="3"/>
  <c r="P14" i="3"/>
  <c r="O89" i="3"/>
  <c r="O88" i="3"/>
  <c r="O86" i="3"/>
  <c r="O85" i="3"/>
  <c r="O83" i="3"/>
  <c r="O90" i="3"/>
  <c r="O87" i="3"/>
  <c r="O84" i="3"/>
  <c r="O58" i="3"/>
  <c r="P62" i="3"/>
  <c r="O22" i="3"/>
  <c r="P58" i="3"/>
  <c r="O41" i="3"/>
  <c r="P43" i="3"/>
  <c r="O17" i="3"/>
  <c r="P88" i="3"/>
  <c r="P83" i="3"/>
  <c r="P85" i="3"/>
  <c r="P90" i="3"/>
  <c r="P87" i="3"/>
  <c r="P84" i="3"/>
  <c r="P89" i="3"/>
  <c r="P86" i="3"/>
  <c r="P70" i="3"/>
  <c r="P66" i="3"/>
  <c r="O42" i="3"/>
  <c r="P52" i="3"/>
  <c r="P72" i="3"/>
  <c r="P15" i="3"/>
  <c r="P69" i="3"/>
  <c r="P6" i="3"/>
  <c r="O25" i="3"/>
  <c r="O59" i="3"/>
  <c r="O77" i="3"/>
  <c r="P49" i="3"/>
  <c r="O20" i="3"/>
  <c r="P32" i="3"/>
  <c r="O32" i="3"/>
  <c r="P67" i="3"/>
  <c r="O18" i="3"/>
  <c r="O24" i="3"/>
  <c r="P79" i="3"/>
  <c r="O56" i="3"/>
  <c r="O52" i="3"/>
  <c r="O73" i="3"/>
  <c r="O36" i="3"/>
  <c r="P63" i="3"/>
  <c r="O44" i="3"/>
  <c r="O74" i="3"/>
  <c r="O53" i="3"/>
  <c r="P78" i="3"/>
  <c r="P18" i="3"/>
  <c r="P75" i="3"/>
  <c r="O28" i="3"/>
  <c r="O31" i="3"/>
  <c r="O9" i="3"/>
  <c r="P47" i="3"/>
  <c r="P64" i="3"/>
  <c r="O23" i="3"/>
  <c r="P53" i="3"/>
  <c r="O12" i="3"/>
  <c r="P29" i="3"/>
  <c r="P9" i="3"/>
  <c r="O4" i="3"/>
  <c r="O10" i="3"/>
  <c r="P42" i="3"/>
  <c r="O27" i="3"/>
  <c r="P45" i="3"/>
  <c r="P54" i="3"/>
  <c r="O21" i="3"/>
  <c r="P12" i="3"/>
  <c r="O39" i="3"/>
  <c r="O54" i="3"/>
  <c r="O45" i="3"/>
  <c r="O60" i="3"/>
  <c r="P50" i="3"/>
  <c r="O48" i="3"/>
  <c r="O3" i="3"/>
  <c r="P7" i="3"/>
  <c r="P24" i="3"/>
  <c r="P81" i="3"/>
  <c r="O70" i="3"/>
  <c r="O34" i="3"/>
  <c r="P23" i="3"/>
  <c r="P80" i="3"/>
  <c r="P5" i="3"/>
  <c r="O26" i="3"/>
  <c r="P71" i="3"/>
  <c r="J3" i="5"/>
  <c r="J4" i="5"/>
  <c r="J5" i="5"/>
  <c r="J6" i="5"/>
  <c r="J7" i="5"/>
  <c r="J8" i="5"/>
  <c r="J9" i="5"/>
  <c r="J11" i="5"/>
  <c r="J10" i="5"/>
  <c r="J15" i="5"/>
  <c r="J12" i="5"/>
  <c r="J14" i="5"/>
  <c r="J18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9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<sst xmlns="http://schemas.openxmlformats.org/spreadsheetml/2006/main" count="1768" uniqueCount="150">
  <si>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</si>
  <si>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</si>
  <si>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</si>
  <si>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</si>
  <si>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</si>
  <si>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</si>
  <si>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</si>
  <si>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</si>
  <si>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</si>
  <si>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</si>
  <si>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</si>
  <si>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</si>
  <si>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</si>
  <si>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</si>
  <si>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</si>
  <si>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</si>
  <si>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</si>
  <si>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</si>
  <si>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</si>
  <si>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</si>
  <si>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</si>
  <si>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</si>
  <si>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</si>
  <si>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</si>
  <si>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</si>
  <si>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</si>
  <si>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</si>
  <si>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</si>
  <si>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</si>
  <si>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</si>
  <si>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</si>
  <si>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</si>
  <si>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</si>
  <si>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</si>
  <si>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</si>
  <si>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</si>
  <si>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</si>
  <si>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</si>
  <si>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</si>
  <si>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</si>
  <si>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</si>
  <si>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</si>
  <si>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</si>
  <si>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</si>
  <si>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</si>
  <si>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</si>
  <si>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</si>
  <si>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</si>
  <si>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</si>
  <si>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</si>
  <si>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</si>
  <si>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</si>
  <si>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</si>
  <si>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</si>
  <si>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</si>
  <si>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</si>
  <si>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</si>
  <si>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</si>
  <si>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</si>
  <si>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</si>
  <si>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</si>
  <si>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</si>
  <si>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</si>
  <si>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</si>
  <si>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</si>
  <si>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</si>
  <si>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</si>
  <si>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</si>
  <si>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</si>
  <si>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</si>
  <si>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</si>
  <si>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</si>
  <si>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</si>
  <si>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</si>
  <si>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</si>
  <si>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</si>
  <si>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</si>
  <si>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</si>
  <si>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</si>
  <si>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</si>
  <si>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</si>
  <si>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</si>
  <si>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</si>
  <si>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</si>
  <si>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</si>
  <si>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</si>
  <si>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</si>
  <si>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</si>
  <si>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</si>
  <si>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</si>
  <si>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</si>
  <si>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</si>
  <si>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</si>
  <si>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Fecha 1</t>
  </si>
  <si>
    <t>Fecha 2</t>
  </si>
  <si>
    <t>Fecha 3</t>
  </si>
  <si>
    <t>Fecha 4</t>
  </si>
  <si>
    <t>Fecha 5</t>
  </si>
  <si>
    <t>Fecha 6</t>
  </si>
  <si>
    <t>Fecha 7</t>
  </si>
  <si>
    <t>Fecha 8</t>
  </si>
  <si>
    <t>Fecha 9</t>
  </si>
  <si>
    <t>Fecha 10</t>
  </si>
  <si>
    <t>Fecha 11</t>
  </si>
  <si>
    <t>Fecha 12</t>
  </si>
  <si>
    <t>Fecha 13</t>
  </si>
  <si>
    <t>Fecha 14</t>
  </si>
  <si>
    <t>Fecha 15</t>
  </si>
  <si>
    <t>Fecha 16</t>
  </si>
  <si>
    <t>Fecha 17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</si>
  <si>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</si>
  <si>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</si>
  <si>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</si>
  <si>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</si>
  <si>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</si>
  <si>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</si>
  <si>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</si>
  <si>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</si>
  <si>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</si>
  <si>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</si>
  <si>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</si>
  <si>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</si>
  <si>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</si>
  <si>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</si>
  <si>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</si>
  <si>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</si>
  <si>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Alianza Atletico</t>
  </si>
  <si>
    <t>PERÚ Liga 2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</si>
  <si>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</si>
  <si>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</si>
  <si>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</si>
  <si>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</si>
  <si>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</si>
  <si>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</si>
  <si>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</si>
  <si>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</si>
  <si>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</si>
  <si>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</si>
  <si>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</si>
  <si>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</si>
  <si>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</si>
  <si>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Estadio Los Chankas</t>
  </si>
  <si>
    <t>Jornada 13</t>
  </si>
  <si>
    <t>Estadio Monumental de Ate</t>
  </si>
  <si>
    <t>Jueves</t>
  </si>
  <si>
    <t>Miércoles</t>
  </si>
  <si>
    <t>Lunes</t>
  </si>
  <si>
    <t>Martes</t>
  </si>
  <si>
    <t>Copa Bicentenario</t>
  </si>
  <si>
    <t>Amistoso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</si>
</sst>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E19" sqref="E19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workbookViewId="0">
      <selection activeCell="I2" sqref="I2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87</v>
      </c>
      <c r="C1" s="1" t="s">
        <v>88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t="s">
        <v>140</v>
      </c>
      <c r="B2" s="3">
        <v>46311</v>
      </c>
      <c r="C2" t="s">
        <v>89</v>
      </c>
      <c r="D2" s="2">
        <v>0.54166666666666663</v>
      </c>
      <c r="E2" t="s">
        <v>24</v>
      </c>
      <c r="F2" t="s">
        <v>23</v>
      </c>
      <c r="G2" t="s">
        <v>57</v>
      </c>
      <c r="H2" t="s">
        <v>25</v>
      </c>
      <c r="I2">
        <f>VLOOKUP(E2,Data_Geografica!$A$2:$C$19,3,FALSE)</f>
        <v>3259</v>
      </c>
      <c r="J2">
        <f>VLOOKUP(F2,Data_Geografica!$A$2:$C$19,3,FALSE)</f>
        <v>3399</v>
      </c>
      <c r="K2">
        <f>IF(I2-J2&gt;0,I2-J2,0)</f>
        <v>0</v>
      </c>
      <c r="L2">
        <v>7</v>
      </c>
      <c r="M2">
        <v>7</v>
      </c>
    </row>
    <row r="3" spans="1:13">
      <c r="A3" t="s">
        <v>140</v>
      </c>
      <c r="B3" s="3">
        <v>46311</v>
      </c>
      <c r="C3" t="s">
        <v>89</v>
      </c>
      <c r="D3" s="2">
        <v>0.64583333333333337</v>
      </c>
      <c r="E3" t="s">
        <v>35</v>
      </c>
      <c r="F3" t="s">
        <v>5</v>
      </c>
      <c r="G3" t="s">
        <v>141</v>
      </c>
      <c r="H3" t="s">
        <v>36</v>
      </c>
      <c r="I3">
        <f>VLOOKUP(E3,Data_Geografica!$A$2:$C$19,3,FALSE)</f>
        <v>2920</v>
      </c>
      <c r="J3">
        <f>VLOOKUP(F3,Data_Geografica!$A$2:$C$19,3,FALSE)</f>
        <v>3050</v>
      </c>
      <c r="K3">
        <f t="shared" ref="K3:K19" si="0">IF(I3-J3&gt;0,I3-J3,0)</f>
        <v>0</v>
      </c>
      <c r="L3">
        <v>7</v>
      </c>
      <c r="M3">
        <v>7</v>
      </c>
    </row>
    <row r="4" spans="1:13">
      <c r="A4" t="s">
        <v>140</v>
      </c>
      <c r="B4" s="3">
        <v>46312</v>
      </c>
      <c r="C4" t="s">
        <v>90</v>
      </c>
      <c r="D4" s="2">
        <v>0.625</v>
      </c>
      <c r="E4" t="s">
        <v>32</v>
      </c>
      <c r="F4" t="s">
        <v>39</v>
      </c>
      <c r="G4" t="s">
        <v>60</v>
      </c>
      <c r="H4" t="s">
        <v>33</v>
      </c>
      <c r="I4">
        <f>VLOOKUP(E4,Data_Geografica!$A$2:$C$19,3,FALSE)</f>
        <v>150</v>
      </c>
      <c r="J4">
        <f>VLOOKUP(F4,Data_Geografica!$A$2:$C$19,3,FALSE)</f>
        <v>10</v>
      </c>
      <c r="K4">
        <f t="shared" si="0"/>
        <v>140</v>
      </c>
      <c r="L4">
        <v>7</v>
      </c>
      <c r="M4">
        <v>7</v>
      </c>
    </row>
    <row r="5" spans="1:13">
      <c r="A5" t="s">
        <v>140</v>
      </c>
      <c r="B5" s="3">
        <v>46312</v>
      </c>
      <c r="C5" t="s">
        <v>90</v>
      </c>
      <c r="D5" s="2">
        <v>0.75</v>
      </c>
      <c r="E5" t="s">
        <v>37</v>
      </c>
      <c r="F5" t="s">
        <v>26</v>
      </c>
      <c r="G5" t="s">
        <v>61</v>
      </c>
      <c r="H5" t="s">
        <v>38</v>
      </c>
      <c r="I5">
        <f>VLOOKUP(E5,Data_Geografica!$A$2:$C$19,3,FALSE)</f>
        <v>2335</v>
      </c>
      <c r="J5">
        <f>VLOOKUP(F5,Data_Geografica!$A$2:$C$19,3,FALSE)</f>
        <v>3399</v>
      </c>
      <c r="K5">
        <f t="shared" si="0"/>
        <v>0</v>
      </c>
      <c r="L5">
        <v>7</v>
      </c>
      <c r="M5">
        <v>7</v>
      </c>
    </row>
    <row r="6" spans="1:13">
      <c r="A6" t="s">
        <v>140</v>
      </c>
      <c r="B6" s="3">
        <v>46312</v>
      </c>
      <c r="C6" t="s">
        <v>90</v>
      </c>
      <c r="D6" s="2">
        <v>0.85416666666666663</v>
      </c>
      <c r="E6" t="s">
        <v>12</v>
      </c>
      <c r="F6" t="s">
        <v>15</v>
      </c>
      <c r="G6" t="s">
        <v>64</v>
      </c>
      <c r="H6" t="s">
        <v>13</v>
      </c>
      <c r="I6">
        <f>VLOOKUP(E6,Data_Geografica!$A$2:$C$19,3,FALSE)</f>
        <v>150</v>
      </c>
      <c r="J6">
        <f>VLOOKUP(F6,Data_Geografica!$A$2:$C$19,3,FALSE)</f>
        <v>50</v>
      </c>
      <c r="K6">
        <f t="shared" si="0"/>
        <v>100</v>
      </c>
      <c r="L6">
        <v>7</v>
      </c>
      <c r="M6">
        <v>7</v>
      </c>
    </row>
    <row r="7" spans="1:13">
      <c r="A7" t="s">
        <v>140</v>
      </c>
      <c r="B7" s="3">
        <v>46312</v>
      </c>
      <c r="C7" t="s">
        <v>90</v>
      </c>
      <c r="D7" s="2">
        <v>0.45833333333333331</v>
      </c>
      <c r="E7" t="s">
        <v>42</v>
      </c>
      <c r="F7" t="s">
        <v>19</v>
      </c>
      <c r="G7" t="s">
        <v>59</v>
      </c>
      <c r="H7" t="s">
        <v>13</v>
      </c>
      <c r="I7">
        <f>VLOOKUP(E7,Data_Geografica!$A$2:$C$19,3,FALSE)</f>
        <v>150</v>
      </c>
      <c r="J7">
        <f>VLOOKUP(F7,Data_Geografica!$A$2:$C$19,3,FALSE)</f>
        <v>2620</v>
      </c>
      <c r="K7">
        <f t="shared" si="0"/>
        <v>0</v>
      </c>
      <c r="L7">
        <v>7</v>
      </c>
      <c r="M7">
        <v>7</v>
      </c>
    </row>
    <row r="8" spans="1:13">
      <c r="A8" t="s">
        <v>140</v>
      </c>
      <c r="B8" s="3">
        <v>46313</v>
      </c>
      <c r="C8" t="s">
        <v>91</v>
      </c>
      <c r="D8" s="2">
        <v>0.54166666666666663</v>
      </c>
      <c r="E8" t="s">
        <v>30</v>
      </c>
      <c r="F8" t="s">
        <v>27</v>
      </c>
      <c r="G8" t="s">
        <v>55</v>
      </c>
      <c r="H8" t="s">
        <v>31</v>
      </c>
      <c r="I8">
        <f>VLOOKUP(E8,Data_Geografica!$A$2:$C$19,3,FALSE)</f>
        <v>2750</v>
      </c>
      <c r="J8">
        <f>VLOOKUP(F8,Data_Geografica!$A$2:$C$19,3,FALSE)</f>
        <v>1410</v>
      </c>
      <c r="K8">
        <f t="shared" si="0"/>
        <v>1340</v>
      </c>
      <c r="L8">
        <v>7</v>
      </c>
      <c r="M8">
        <v>7</v>
      </c>
    </row>
    <row r="9" spans="1:13">
      <c r="A9" t="s">
        <v>140</v>
      </c>
      <c r="B9" s="3">
        <v>46313</v>
      </c>
      <c r="C9" t="s">
        <v>91</v>
      </c>
      <c r="D9" s="2">
        <v>0.64583333333333337</v>
      </c>
      <c r="E9" t="s">
        <v>9</v>
      </c>
      <c r="F9" t="s">
        <v>43</v>
      </c>
      <c r="G9" t="s">
        <v>56</v>
      </c>
      <c r="H9" t="s">
        <v>10</v>
      </c>
      <c r="I9">
        <f>VLOOKUP(E9,Data_Geografica!$A$2:$C$19,3,FALSE)</f>
        <v>50</v>
      </c>
      <c r="J9">
        <f>VLOOKUP(F9,Data_Geografica!$A$2:$C$19,3,FALSE)</f>
        <v>150</v>
      </c>
      <c r="K9">
        <f t="shared" si="0"/>
        <v>0</v>
      </c>
      <c r="L9">
        <v>7</v>
      </c>
      <c r="M9">
        <v>7</v>
      </c>
    </row>
    <row r="10" spans="1:13">
      <c r="A10" t="s">
        <v>140</v>
      </c>
      <c r="B10" s="3">
        <v>46313</v>
      </c>
      <c r="C10" t="s">
        <v>91</v>
      </c>
      <c r="D10" s="2">
        <v>0.77083333333333337</v>
      </c>
      <c r="E10" t="s">
        <v>17</v>
      </c>
      <c r="F10" t="s">
        <v>44</v>
      </c>
      <c r="G10" t="s">
        <v>58</v>
      </c>
      <c r="H10" t="s">
        <v>18</v>
      </c>
      <c r="I10">
        <f>VLOOKUP(E10,Data_Geografica!$A$2:$C$19,3,FALSE)</f>
        <v>3399</v>
      </c>
      <c r="J10">
        <f>VLOOKUP(F10,Data_Geografica!$A$2:$C$19,3,FALSE)</f>
        <v>2750</v>
      </c>
      <c r="K10">
        <f t="shared" si="0"/>
        <v>649</v>
      </c>
      <c r="L10">
        <v>7</v>
      </c>
      <c r="M10">
        <v>7</v>
      </c>
    </row>
    <row r="11" spans="1:13">
      <c r="A11" s="5" t="s">
        <v>142</v>
      </c>
      <c r="B11" s="3">
        <v>46311</v>
      </c>
      <c r="C11" t="s">
        <v>89</v>
      </c>
      <c r="D11" s="2">
        <v>0.54166666666666663</v>
      </c>
      <c r="E11" t="s">
        <v>44</v>
      </c>
      <c r="F11" t="s">
        <v>37</v>
      </c>
      <c r="G11" t="s">
        <v>55</v>
      </c>
      <c r="H11" t="s">
        <v>25</v>
      </c>
      <c r="I11">
        <f>VLOOKUP(E11,Data_Geografica!$A$2:$C$19,3,FALSE)</f>
        <v>2750</v>
      </c>
      <c r="J11">
        <f>VLOOKUP(F11,Data_Geografica!$A$2:$C$19,3,FALSE)</f>
        <v>2335</v>
      </c>
      <c r="K11">
        <f t="shared" si="0"/>
        <v>415</v>
      </c>
      <c r="L11">
        <v>7</v>
      </c>
      <c r="M11">
        <v>7</v>
      </c>
    </row>
    <row r="12" spans="1:13">
      <c r="A12" t="s">
        <v>142</v>
      </c>
      <c r="B12" s="3">
        <v>46311</v>
      </c>
      <c r="C12" t="s">
        <v>89</v>
      </c>
      <c r="D12" s="2">
        <v>0.64583333333333337</v>
      </c>
      <c r="E12" t="s">
        <v>15</v>
      </c>
      <c r="F12" t="s">
        <v>5</v>
      </c>
      <c r="G12" t="s">
        <v>56</v>
      </c>
      <c r="H12" t="s">
        <v>36</v>
      </c>
      <c r="I12">
        <f>VLOOKUP(E12,Data_Geografica!$A$2:$C$19,3,FALSE)</f>
        <v>50</v>
      </c>
      <c r="J12">
        <f>VLOOKUP(F12,Data_Geografica!$A$2:$C$19,3,FALSE)</f>
        <v>3050</v>
      </c>
      <c r="K12">
        <f t="shared" si="0"/>
        <v>0</v>
      </c>
      <c r="L12">
        <v>7</v>
      </c>
      <c r="M12">
        <v>7</v>
      </c>
    </row>
    <row r="13" spans="1:13">
      <c r="A13" t="s">
        <v>142</v>
      </c>
      <c r="B13" s="3">
        <v>46312</v>
      </c>
      <c r="C13" t="s">
        <v>90</v>
      </c>
      <c r="D13" s="2">
        <v>0.625</v>
      </c>
      <c r="E13" t="s">
        <v>24</v>
      </c>
      <c r="F13" t="s">
        <v>9</v>
      </c>
      <c r="G13" t="s">
        <v>57</v>
      </c>
      <c r="H13" t="s">
        <v>33</v>
      </c>
      <c r="I13">
        <f>VLOOKUP(E13,Data_Geografica!$A$2:$C$19,3,FALSE)</f>
        <v>3259</v>
      </c>
      <c r="J13">
        <f>VLOOKUP(F13,Data_Geografica!$A$2:$C$19,3,FALSE)</f>
        <v>50</v>
      </c>
      <c r="K13">
        <f t="shared" si="0"/>
        <v>3209</v>
      </c>
      <c r="L13">
        <v>7</v>
      </c>
      <c r="M13">
        <v>7</v>
      </c>
    </row>
    <row r="14" spans="1:13">
      <c r="A14" t="s">
        <v>142</v>
      </c>
      <c r="B14" s="3">
        <v>46312</v>
      </c>
      <c r="C14" t="s">
        <v>90</v>
      </c>
      <c r="D14" s="2">
        <v>0.75</v>
      </c>
      <c r="E14" t="s">
        <v>23</v>
      </c>
      <c r="F14" t="s">
        <v>42</v>
      </c>
      <c r="G14" t="s">
        <v>58</v>
      </c>
      <c r="H14" t="s">
        <v>38</v>
      </c>
      <c r="I14">
        <f>VLOOKUP(E14,Data_Geografica!$A$2:$C$19,3,FALSE)</f>
        <v>3399</v>
      </c>
      <c r="J14">
        <f>VLOOKUP(F14,Data_Geografica!$A$2:$C$19,3,FALSE)</f>
        <v>150</v>
      </c>
      <c r="K14">
        <f t="shared" si="0"/>
        <v>3249</v>
      </c>
      <c r="L14">
        <v>7</v>
      </c>
      <c r="M14">
        <v>7</v>
      </c>
    </row>
    <row r="15" spans="1:13">
      <c r="A15" t="s">
        <v>142</v>
      </c>
      <c r="B15" s="3">
        <v>46312</v>
      </c>
      <c r="C15" t="s">
        <v>90</v>
      </c>
      <c r="D15" s="2">
        <v>0.85416666666666663</v>
      </c>
      <c r="E15" t="s">
        <v>43</v>
      </c>
      <c r="F15" t="s">
        <v>32</v>
      </c>
      <c r="G15" t="s">
        <v>143</v>
      </c>
      <c r="H15" t="s">
        <v>13</v>
      </c>
      <c r="I15">
        <f>VLOOKUP(E15,Data_Geografica!$A$2:$C$19,3,FALSE)</f>
        <v>150</v>
      </c>
      <c r="J15">
        <f>VLOOKUP(F15,Data_Geografica!$A$2:$C$19,3,FALSE)</f>
        <v>150</v>
      </c>
      <c r="K15">
        <f t="shared" si="0"/>
        <v>0</v>
      </c>
      <c r="L15">
        <v>7</v>
      </c>
      <c r="M15">
        <v>7</v>
      </c>
    </row>
    <row r="16" spans="1:13">
      <c r="A16" t="s">
        <v>142</v>
      </c>
      <c r="B16" s="3">
        <v>46313</v>
      </c>
      <c r="C16" t="s">
        <v>91</v>
      </c>
      <c r="D16" s="2">
        <v>0.45833333333333331</v>
      </c>
      <c r="E16" t="s">
        <v>19</v>
      </c>
      <c r="F16" t="s">
        <v>17</v>
      </c>
      <c r="G16" t="s">
        <v>62</v>
      </c>
      <c r="H16" t="s">
        <v>13</v>
      </c>
      <c r="I16">
        <f>VLOOKUP(E16,Data_Geografica!$A$2:$C$19,3,FALSE)</f>
        <v>2620</v>
      </c>
      <c r="J16">
        <f>VLOOKUP(F16,Data_Geografica!$A$2:$C$19,3,FALSE)</f>
        <v>3399</v>
      </c>
      <c r="K16">
        <f t="shared" si="0"/>
        <v>0</v>
      </c>
      <c r="L16">
        <v>7</v>
      </c>
      <c r="M16">
        <v>7</v>
      </c>
    </row>
    <row r="17" spans="1:13">
      <c r="A17" t="s">
        <v>142</v>
      </c>
      <c r="B17" s="3">
        <v>46313</v>
      </c>
      <c r="C17" t="s">
        <v>91</v>
      </c>
      <c r="D17" s="2">
        <v>0.54166666666666663</v>
      </c>
      <c r="E17" t="s">
        <v>27</v>
      </c>
      <c r="F17" t="s">
        <v>12</v>
      </c>
      <c r="G17" t="s">
        <v>63</v>
      </c>
      <c r="H17" t="s">
        <v>31</v>
      </c>
      <c r="I17">
        <f>VLOOKUP(E17,Data_Geografica!$A$2:$C$19,3,FALSE)</f>
        <v>1410</v>
      </c>
      <c r="J17">
        <f>VLOOKUP(F17,Data_Geografica!$A$2:$C$19,3,FALSE)</f>
        <v>150</v>
      </c>
      <c r="K17">
        <f t="shared" si="0"/>
        <v>1260</v>
      </c>
      <c r="L17">
        <v>7</v>
      </c>
      <c r="M17">
        <v>7</v>
      </c>
    </row>
    <row r="18" spans="1:13">
      <c r="A18" t="s">
        <v>142</v>
      </c>
      <c r="B18" s="3">
        <v>46313</v>
      </c>
      <c r="C18" t="s">
        <v>91</v>
      </c>
      <c r="D18" s="2">
        <v>0.64583333333333337</v>
      </c>
      <c r="E18" t="s">
        <v>39</v>
      </c>
      <c r="F18" t="s">
        <v>30</v>
      </c>
      <c r="G18" t="s">
        <v>92</v>
      </c>
      <c r="H18" t="s">
        <v>10</v>
      </c>
      <c r="I18">
        <f>VLOOKUP(E18,Data_Geografica!$A$2:$C$19,3,FALSE)</f>
        <v>10</v>
      </c>
      <c r="J18">
        <f>VLOOKUP(F18,Data_Geografica!$A$2:$C$19,3,FALSE)</f>
        <v>2750</v>
      </c>
      <c r="K18">
        <f t="shared" si="0"/>
        <v>0</v>
      </c>
      <c r="L18">
        <v>7</v>
      </c>
      <c r="M18">
        <v>7</v>
      </c>
    </row>
    <row r="19" spans="1:13">
      <c r="A19" t="s">
        <v>142</v>
      </c>
      <c r="B19" s="3">
        <v>46313</v>
      </c>
      <c r="C19" t="s">
        <v>91</v>
      </c>
      <c r="D19" s="2">
        <v>0.77083333333333337</v>
      </c>
      <c r="E19" t="s">
        <v>26</v>
      </c>
      <c r="F19" t="s">
        <v>35</v>
      </c>
      <c r="G19" t="s">
        <v>58</v>
      </c>
      <c r="H19" t="s">
        <v>18</v>
      </c>
      <c r="I19">
        <f>VLOOKUP(E19,Data_Geografica!$A$2:$C$19,3,FALSE)</f>
        <v>3399</v>
      </c>
      <c r="J19">
        <f>VLOOKUP(F19,Data_Geografica!$A$2:$C$19,3,FALSE)</f>
        <v>2920</v>
      </c>
      <c r="K19">
        <f t="shared" si="0"/>
        <v>479</v>
      </c>
      <c r="L19">
        <v>7</v>
      </c>
      <c r="M19">
        <v>7</v>
      </c>
    </row>
    <row r="24" spans="1:13">
      <c r="B24" s="3"/>
      <c r="D24" s="2"/>
    </row>
    <row r="25" spans="1:13">
      <c r="B25" s="3"/>
      <c r="D25" s="2"/>
    </row>
    <row r="26" spans="1:13">
      <c r="B26" s="3"/>
      <c r="D26" s="2"/>
    </row>
    <row r="27" spans="1:13">
      <c r="B27" s="3"/>
      <c r="D27" s="2"/>
    </row>
    <row r="28" spans="1:13">
      <c r="B28" s="3"/>
      <c r="D28" s="2"/>
    </row>
    <row r="29" spans="1:13">
      <c r="B29" s="3"/>
      <c r="D29" s="2"/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  <row r="34" spans="2:4">
      <c r="B34" s="3"/>
      <c r="D34" s="2"/>
    </row>
    <row r="35" spans="2:4">
      <c r="B35" s="3"/>
      <c r="D35" s="2"/>
    </row>
    <row r="36" spans="2:4">
      <c r="B36" s="3"/>
      <c r="D36" s="2"/>
    </row>
    <row r="37" spans="2:4">
      <c r="B37" s="3"/>
      <c r="D37" s="2"/>
    </row>
    <row r="38" spans="2:4">
      <c r="B38" s="3"/>
      <c r="D38" s="2"/>
    </row>
    <row r="39" spans="2:4">
      <c r="B39" s="3"/>
      <c r="D39" s="2"/>
    </row>
    <row r="40" spans="2:4">
      <c r="B40" s="3"/>
      <c r="D40" s="2"/>
    </row>
    <row r="41" spans="2:4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L277"/>
  <sheetViews>
    <sheetView workbookViewId="0">
      <pane ySplit="1" topLeftCell="A2" activePane="bottomLeft" state="frozen"/>
      <selection pane="bottomLeft" activeCell="I2" sqref="I2"/>
    </sheetView>
  </sheetViews>
  <sheetFormatPr baseColWidth="10" defaultRowHeight="14.4"/>
  <cols>
    <col min="1" max="1" width="9.33203125" bestFit="1" customWidth="1"/>
    <col min="2" max="2" width="10.5546875" bestFit="1" customWidth="1"/>
    <col min="3" max="3" width="9.33203125" customWidth="1"/>
    <col min="4" max="4" width="19.88671875" bestFit="1" customWidth="1"/>
    <col min="5" max="5" width="11.5546875" bestFit="1" customWidth="1"/>
    <col min="6" max="6" width="12.109375" bestFit="1" customWidth="1"/>
    <col min="7" max="7" width="19.8867187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8.88671875" style="15" bestFit="1" customWidth="1"/>
    <col min="12" max="12" width="9.44140625" style="15" bestFit="1" customWidth="1"/>
  </cols>
  <sheetData>
    <row r="1" spans="1:12" s="1" customFormat="1">
      <c r="A1" s="1" t="s">
        <v>45</v>
      </c>
      <c r="B1" s="1" t="s">
        <v>87</v>
      </c>
      <c r="C1" s="1" t="s">
        <v>88</v>
      </c>
      <c r="D1" s="1" t="s">
        <v>47</v>
      </c>
      <c r="E1" s="1" t="s">
        <v>65</v>
      </c>
      <c r="F1" s="1" t="s">
        <v>66</v>
      </c>
      <c r="G1" s="1" t="s">
        <v>48</v>
      </c>
      <c r="H1" s="1" t="s">
        <v>1</v>
      </c>
      <c r="I1" s="1" t="s">
        <v>50</v>
      </c>
      <c r="J1" s="1" t="s">
        <v>51</v>
      </c>
      <c r="K1" s="14" t="s">
        <v>67</v>
      </c>
      <c r="L1" s="14" t="s">
        <v>68</v>
      </c>
    </row>
    <row r="2" spans="1:12">
      <c r="A2" t="s">
        <v>93</v>
      </c>
      <c r="B2" s="3">
        <v>46052</v>
      </c>
      <c r="C2" t="s">
        <v>89</v>
      </c>
      <c r="D2" t="s">
        <v>24</v>
      </c>
      <c r="E2">
        <v>1</v>
      </c>
      <c r="F2">
        <v>2</v>
      </c>
      <c r="G2" t="s">
        <v>12</v>
      </c>
      <c r="H2" t="s">
        <v>25</v>
      </c>
      <c r="I2">
        <v>3259</v>
      </c>
      <c r="J2">
        <v>150</v>
      </c>
      <c r="K2" s="16">
        <v>1.23</v>
      </c>
      <c r="L2" s="16">
        <v>1.3</v>
      </c>
    </row>
    <row r="3" spans="1:12">
      <c r="A3" t="s">
        <v>93</v>
      </c>
      <c r="B3" s="3">
        <v>46052</v>
      </c>
      <c r="C3" t="s">
        <v>89</v>
      </c>
      <c r="D3" t="s">
        <v>44</v>
      </c>
      <c r="E3">
        <v>2</v>
      </c>
      <c r="F3">
        <v>0</v>
      </c>
      <c r="G3" t="s">
        <v>15</v>
      </c>
      <c r="H3" t="s">
        <v>31</v>
      </c>
      <c r="I3">
        <v>2750</v>
      </c>
      <c r="J3">
        <v>29</v>
      </c>
      <c r="K3" s="16">
        <v>1.67</v>
      </c>
      <c r="L3" s="16">
        <v>0.3</v>
      </c>
    </row>
    <row r="4" spans="1:12">
      <c r="A4" t="s">
        <v>93</v>
      </c>
      <c r="B4" s="3">
        <v>46053</v>
      </c>
      <c r="C4" t="s">
        <v>90</v>
      </c>
      <c r="D4" t="s">
        <v>39</v>
      </c>
      <c r="E4">
        <v>1</v>
      </c>
      <c r="F4">
        <v>1</v>
      </c>
      <c r="G4" t="s">
        <v>35</v>
      </c>
      <c r="H4" t="s">
        <v>40</v>
      </c>
      <c r="I4">
        <v>5</v>
      </c>
      <c r="J4">
        <v>2926</v>
      </c>
      <c r="K4" s="16">
        <v>0.9</v>
      </c>
      <c r="L4" s="16">
        <v>0.8</v>
      </c>
    </row>
    <row r="5" spans="1:12">
      <c r="A5" t="s">
        <v>93</v>
      </c>
      <c r="B5" s="3">
        <v>46053</v>
      </c>
      <c r="C5" t="s">
        <v>90</v>
      </c>
      <c r="D5" t="s">
        <v>32</v>
      </c>
      <c r="E5">
        <v>3</v>
      </c>
      <c r="F5">
        <v>3</v>
      </c>
      <c r="G5" t="s">
        <v>30</v>
      </c>
      <c r="H5" t="s">
        <v>33</v>
      </c>
      <c r="I5">
        <v>209</v>
      </c>
      <c r="J5">
        <v>2750</v>
      </c>
      <c r="K5" s="16">
        <v>1.92</v>
      </c>
      <c r="L5" s="16">
        <v>1.8</v>
      </c>
    </row>
    <row r="6" spans="1:12">
      <c r="A6" t="s">
        <v>93</v>
      </c>
      <c r="B6" s="3">
        <v>46053</v>
      </c>
      <c r="C6" t="s">
        <v>90</v>
      </c>
      <c r="D6" t="s">
        <v>37</v>
      </c>
      <c r="E6">
        <v>2</v>
      </c>
      <c r="F6">
        <v>0</v>
      </c>
      <c r="G6" t="s">
        <v>17</v>
      </c>
      <c r="H6" t="s">
        <v>38</v>
      </c>
      <c r="I6">
        <v>2335</v>
      </c>
      <c r="J6">
        <v>3399</v>
      </c>
      <c r="K6" s="16">
        <v>1.63</v>
      </c>
      <c r="L6" s="16">
        <v>0.3</v>
      </c>
    </row>
    <row r="7" spans="1:12">
      <c r="A7" t="s">
        <v>93</v>
      </c>
      <c r="B7" s="3">
        <v>46054</v>
      </c>
      <c r="C7" t="s">
        <v>91</v>
      </c>
      <c r="D7" t="s">
        <v>26</v>
      </c>
      <c r="E7">
        <v>1</v>
      </c>
      <c r="F7">
        <v>1</v>
      </c>
      <c r="G7" t="s">
        <v>42</v>
      </c>
      <c r="H7" t="s">
        <v>18</v>
      </c>
      <c r="I7">
        <v>3399</v>
      </c>
      <c r="J7">
        <v>150</v>
      </c>
      <c r="K7" s="16">
        <v>1.24</v>
      </c>
      <c r="L7" s="16">
        <v>0.8</v>
      </c>
    </row>
    <row r="8" spans="1:12">
      <c r="A8" t="s">
        <v>93</v>
      </c>
      <c r="B8" s="3">
        <v>46054</v>
      </c>
      <c r="C8" t="s">
        <v>91</v>
      </c>
      <c r="D8" t="s">
        <v>9</v>
      </c>
      <c r="E8">
        <v>1</v>
      </c>
      <c r="F8">
        <v>0</v>
      </c>
      <c r="G8" t="s">
        <v>23</v>
      </c>
      <c r="H8" t="s">
        <v>10</v>
      </c>
      <c r="I8">
        <v>60</v>
      </c>
      <c r="J8">
        <v>3399</v>
      </c>
      <c r="K8" s="16">
        <v>0.91</v>
      </c>
      <c r="L8" s="16">
        <v>0.3</v>
      </c>
    </row>
    <row r="9" spans="1:12">
      <c r="A9" t="s">
        <v>93</v>
      </c>
      <c r="B9" s="3">
        <v>46054</v>
      </c>
      <c r="C9" t="s">
        <v>91</v>
      </c>
      <c r="D9" t="s">
        <v>43</v>
      </c>
      <c r="E9">
        <v>2</v>
      </c>
      <c r="F9">
        <v>0</v>
      </c>
      <c r="G9" t="s">
        <v>5</v>
      </c>
      <c r="H9" t="s">
        <v>13</v>
      </c>
      <c r="I9">
        <v>150</v>
      </c>
      <c r="J9">
        <v>3050</v>
      </c>
      <c r="K9" s="16">
        <v>1.41</v>
      </c>
      <c r="L9" s="16">
        <v>0.3</v>
      </c>
    </row>
    <row r="10" spans="1:12">
      <c r="A10" t="s">
        <v>93</v>
      </c>
      <c r="B10" s="3">
        <v>46055</v>
      </c>
      <c r="C10" t="s">
        <v>146</v>
      </c>
      <c r="D10" t="s">
        <v>19</v>
      </c>
      <c r="E10">
        <v>1</v>
      </c>
      <c r="F10">
        <v>0</v>
      </c>
      <c r="G10" t="s">
        <v>27</v>
      </c>
      <c r="H10" t="s">
        <v>20</v>
      </c>
      <c r="I10">
        <v>2637</v>
      </c>
      <c r="J10">
        <v>1410</v>
      </c>
      <c r="K10" s="16">
        <v>1.1599999999999999</v>
      </c>
      <c r="L10" s="16">
        <v>0.3</v>
      </c>
    </row>
    <row r="11" spans="1:12">
      <c r="A11" t="s">
        <v>94</v>
      </c>
      <c r="B11" s="3">
        <v>46059</v>
      </c>
      <c r="C11" t="s">
        <v>89</v>
      </c>
      <c r="D11" t="s">
        <v>27</v>
      </c>
      <c r="E11">
        <v>2</v>
      </c>
      <c r="F11">
        <v>3</v>
      </c>
      <c r="G11" t="s">
        <v>44</v>
      </c>
      <c r="H11" t="s">
        <v>28</v>
      </c>
      <c r="I11">
        <v>1410</v>
      </c>
      <c r="J11">
        <v>2750</v>
      </c>
      <c r="K11" s="16">
        <v>1.54</v>
      </c>
      <c r="L11" s="16">
        <v>1.8</v>
      </c>
    </row>
    <row r="12" spans="1:12">
      <c r="A12" t="s">
        <v>94</v>
      </c>
      <c r="B12" s="3">
        <v>46060</v>
      </c>
      <c r="C12" t="s">
        <v>90</v>
      </c>
      <c r="D12" t="s">
        <v>5</v>
      </c>
      <c r="E12">
        <v>1</v>
      </c>
      <c r="F12">
        <v>0</v>
      </c>
      <c r="G12" t="s">
        <v>39</v>
      </c>
      <c r="H12" t="s">
        <v>6</v>
      </c>
      <c r="I12">
        <v>3050</v>
      </c>
      <c r="J12">
        <v>5</v>
      </c>
      <c r="K12" s="16">
        <v>1.21</v>
      </c>
      <c r="L12" s="16">
        <v>0.3</v>
      </c>
    </row>
    <row r="13" spans="1:12">
      <c r="A13" t="s">
        <v>94</v>
      </c>
      <c r="B13" s="3">
        <v>46060</v>
      </c>
      <c r="C13" t="s">
        <v>90</v>
      </c>
      <c r="D13" t="s">
        <v>15</v>
      </c>
      <c r="E13">
        <v>0</v>
      </c>
      <c r="F13">
        <v>0</v>
      </c>
      <c r="G13" t="s">
        <v>24</v>
      </c>
      <c r="H13" t="s">
        <v>16</v>
      </c>
      <c r="I13">
        <v>29</v>
      </c>
      <c r="J13">
        <v>3259</v>
      </c>
      <c r="K13" s="16">
        <v>0.4</v>
      </c>
      <c r="L13" s="16">
        <v>0.3</v>
      </c>
    </row>
    <row r="14" spans="1:12">
      <c r="A14" t="s">
        <v>94</v>
      </c>
      <c r="B14" s="3">
        <v>46060</v>
      </c>
      <c r="C14" t="s">
        <v>90</v>
      </c>
      <c r="D14" t="s">
        <v>23</v>
      </c>
      <c r="E14">
        <v>1</v>
      </c>
      <c r="F14">
        <v>1</v>
      </c>
      <c r="G14" t="s">
        <v>43</v>
      </c>
      <c r="H14" t="s">
        <v>18</v>
      </c>
      <c r="I14">
        <v>3399</v>
      </c>
      <c r="J14">
        <v>150</v>
      </c>
      <c r="K14" s="16">
        <v>1.24</v>
      </c>
      <c r="L14" s="16">
        <v>0.8</v>
      </c>
    </row>
    <row r="15" spans="1:12">
      <c r="A15" t="s">
        <v>94</v>
      </c>
      <c r="B15" s="3">
        <v>46061</v>
      </c>
      <c r="C15" t="s">
        <v>91</v>
      </c>
      <c r="D15" t="s">
        <v>42</v>
      </c>
      <c r="E15">
        <v>1</v>
      </c>
      <c r="F15">
        <v>2</v>
      </c>
      <c r="G15" t="s">
        <v>37</v>
      </c>
      <c r="H15" t="s">
        <v>13</v>
      </c>
      <c r="I15">
        <v>150</v>
      </c>
      <c r="J15">
        <v>2335</v>
      </c>
      <c r="K15" s="16">
        <v>0.92</v>
      </c>
      <c r="L15" s="16">
        <v>1.3</v>
      </c>
    </row>
    <row r="16" spans="1:12">
      <c r="A16" t="s">
        <v>94</v>
      </c>
      <c r="B16" s="3">
        <v>46061</v>
      </c>
      <c r="C16" t="s">
        <v>90</v>
      </c>
      <c r="D16" t="s">
        <v>35</v>
      </c>
      <c r="E16">
        <v>1</v>
      </c>
      <c r="F16">
        <v>0</v>
      </c>
      <c r="G16" t="s">
        <v>9</v>
      </c>
      <c r="H16" t="s">
        <v>36</v>
      </c>
      <c r="I16">
        <v>2926</v>
      </c>
      <c r="J16">
        <v>60</v>
      </c>
      <c r="K16" s="16">
        <v>1.19</v>
      </c>
      <c r="L16" s="16">
        <v>0.3</v>
      </c>
    </row>
    <row r="17" spans="1:12">
      <c r="A17" t="s">
        <v>94</v>
      </c>
      <c r="B17" s="3">
        <v>46061</v>
      </c>
      <c r="C17" t="s">
        <v>91</v>
      </c>
      <c r="D17" t="s">
        <v>17</v>
      </c>
      <c r="E17">
        <v>6</v>
      </c>
      <c r="F17">
        <v>1</v>
      </c>
      <c r="G17" t="s">
        <v>32</v>
      </c>
      <c r="H17" t="s">
        <v>18</v>
      </c>
      <c r="I17">
        <v>3399</v>
      </c>
      <c r="J17">
        <v>209</v>
      </c>
      <c r="K17" s="16">
        <v>3.74</v>
      </c>
      <c r="L17" s="16">
        <v>0.8</v>
      </c>
    </row>
    <row r="18" spans="1:12">
      <c r="A18" t="s">
        <v>94</v>
      </c>
      <c r="B18" s="3">
        <v>46061</v>
      </c>
      <c r="C18" t="s">
        <v>91</v>
      </c>
      <c r="D18" t="s">
        <v>12</v>
      </c>
      <c r="E18">
        <v>2</v>
      </c>
      <c r="F18">
        <v>1</v>
      </c>
      <c r="G18" t="s">
        <v>19</v>
      </c>
      <c r="H18" t="s">
        <v>13</v>
      </c>
      <c r="I18">
        <v>150</v>
      </c>
      <c r="J18">
        <v>2637</v>
      </c>
      <c r="K18" s="16">
        <v>1.41</v>
      </c>
      <c r="L18" s="16">
        <v>0.8</v>
      </c>
    </row>
    <row r="19" spans="1:12">
      <c r="A19" t="s">
        <v>94</v>
      </c>
      <c r="B19" s="3">
        <v>46062</v>
      </c>
      <c r="C19" t="s">
        <v>146</v>
      </c>
      <c r="D19" t="s">
        <v>30</v>
      </c>
      <c r="E19">
        <v>1</v>
      </c>
      <c r="F19">
        <v>1</v>
      </c>
      <c r="G19" t="s">
        <v>26</v>
      </c>
      <c r="H19" t="s">
        <v>31</v>
      </c>
      <c r="I19">
        <v>2750</v>
      </c>
      <c r="J19">
        <v>3399</v>
      </c>
      <c r="K19" s="16">
        <v>1.18</v>
      </c>
      <c r="L19" s="16">
        <v>0.8</v>
      </c>
    </row>
    <row r="20" spans="1:12">
      <c r="A20" t="s">
        <v>95</v>
      </c>
      <c r="B20" s="3">
        <v>46066</v>
      </c>
      <c r="C20" t="s">
        <v>89</v>
      </c>
      <c r="D20" t="s">
        <v>44</v>
      </c>
      <c r="E20">
        <v>1</v>
      </c>
      <c r="F20">
        <v>0</v>
      </c>
      <c r="G20" t="s">
        <v>23</v>
      </c>
      <c r="H20" t="s">
        <v>31</v>
      </c>
      <c r="I20">
        <v>2750</v>
      </c>
      <c r="J20">
        <v>3399</v>
      </c>
      <c r="K20" s="16">
        <v>1.18</v>
      </c>
      <c r="L20" s="16">
        <v>0.3</v>
      </c>
    </row>
    <row r="21" spans="1:12">
      <c r="A21" t="s">
        <v>95</v>
      </c>
      <c r="B21" s="3">
        <v>46066</v>
      </c>
      <c r="C21" t="s">
        <v>89</v>
      </c>
      <c r="D21" t="s">
        <v>43</v>
      </c>
      <c r="E21">
        <v>2</v>
      </c>
      <c r="F21">
        <v>1</v>
      </c>
      <c r="G21" t="s">
        <v>17</v>
      </c>
      <c r="H21" t="s">
        <v>13</v>
      </c>
      <c r="I21">
        <v>150</v>
      </c>
      <c r="J21">
        <v>3399</v>
      </c>
      <c r="K21" s="16">
        <v>1.41</v>
      </c>
      <c r="L21" s="16">
        <v>0.8</v>
      </c>
    </row>
    <row r="22" spans="1:12">
      <c r="A22" t="s">
        <v>95</v>
      </c>
      <c r="B22" s="3">
        <v>46067</v>
      </c>
      <c r="C22" t="s">
        <v>90</v>
      </c>
      <c r="D22" t="s">
        <v>26</v>
      </c>
      <c r="E22">
        <v>1</v>
      </c>
      <c r="F22">
        <v>0</v>
      </c>
      <c r="G22" t="s">
        <v>5</v>
      </c>
      <c r="H22" t="s">
        <v>18</v>
      </c>
      <c r="I22">
        <v>3399</v>
      </c>
      <c r="J22">
        <v>3050</v>
      </c>
      <c r="K22" s="16">
        <v>1.24</v>
      </c>
      <c r="L22" s="16">
        <v>0.3</v>
      </c>
    </row>
    <row r="23" spans="1:12">
      <c r="A23" t="s">
        <v>95</v>
      </c>
      <c r="B23" s="3">
        <v>46067</v>
      </c>
      <c r="C23" t="s">
        <v>90</v>
      </c>
      <c r="D23" t="s">
        <v>32</v>
      </c>
      <c r="E23">
        <v>0</v>
      </c>
      <c r="F23">
        <v>2</v>
      </c>
      <c r="G23" t="s">
        <v>42</v>
      </c>
      <c r="H23" t="s">
        <v>33</v>
      </c>
      <c r="I23">
        <v>209</v>
      </c>
      <c r="J23">
        <v>150</v>
      </c>
      <c r="K23" s="16">
        <v>0.42</v>
      </c>
      <c r="L23" s="16">
        <v>1.3</v>
      </c>
    </row>
    <row r="24" spans="1:12">
      <c r="A24" t="s">
        <v>95</v>
      </c>
      <c r="B24" s="3">
        <v>46067</v>
      </c>
      <c r="C24" t="s">
        <v>90</v>
      </c>
      <c r="D24" t="s">
        <v>39</v>
      </c>
      <c r="E24">
        <v>1</v>
      </c>
      <c r="F24">
        <v>0</v>
      </c>
      <c r="G24" t="s">
        <v>15</v>
      </c>
      <c r="H24" t="s">
        <v>40</v>
      </c>
      <c r="I24">
        <v>5</v>
      </c>
      <c r="J24">
        <v>29</v>
      </c>
      <c r="K24" s="16">
        <v>0.9</v>
      </c>
      <c r="L24" s="16">
        <v>0.3</v>
      </c>
    </row>
    <row r="25" spans="1:12">
      <c r="A25" t="s">
        <v>95</v>
      </c>
      <c r="B25" s="3">
        <v>46067</v>
      </c>
      <c r="C25" t="s">
        <v>90</v>
      </c>
      <c r="D25" t="s">
        <v>9</v>
      </c>
      <c r="E25">
        <v>0</v>
      </c>
      <c r="F25">
        <v>0</v>
      </c>
      <c r="G25" t="s">
        <v>12</v>
      </c>
      <c r="H25" t="s">
        <v>10</v>
      </c>
      <c r="I25">
        <v>60</v>
      </c>
      <c r="J25">
        <v>150</v>
      </c>
      <c r="K25" s="16">
        <v>0.41</v>
      </c>
      <c r="L25" s="16">
        <v>0.3</v>
      </c>
    </row>
    <row r="26" spans="1:12">
      <c r="A26" t="s">
        <v>95</v>
      </c>
      <c r="B26" s="3">
        <v>46068</v>
      </c>
      <c r="C26" t="s">
        <v>91</v>
      </c>
      <c r="D26" t="s">
        <v>24</v>
      </c>
      <c r="E26">
        <v>2</v>
      </c>
      <c r="F26">
        <v>0</v>
      </c>
      <c r="G26" t="s">
        <v>30</v>
      </c>
      <c r="H26" t="s">
        <v>25</v>
      </c>
      <c r="I26">
        <v>3259</v>
      </c>
      <c r="J26">
        <v>2750</v>
      </c>
      <c r="K26" s="16">
        <v>1.73</v>
      </c>
      <c r="L26" s="16">
        <v>0.3</v>
      </c>
    </row>
    <row r="27" spans="1:12">
      <c r="A27" t="s">
        <v>95</v>
      </c>
      <c r="B27" s="3">
        <v>46068</v>
      </c>
      <c r="C27" t="s">
        <v>91</v>
      </c>
      <c r="D27" t="s">
        <v>19</v>
      </c>
      <c r="E27">
        <v>1</v>
      </c>
      <c r="F27">
        <v>1</v>
      </c>
      <c r="G27" t="s">
        <v>35</v>
      </c>
      <c r="H27" t="s">
        <v>20</v>
      </c>
      <c r="I27">
        <v>2637</v>
      </c>
      <c r="J27">
        <v>2926</v>
      </c>
      <c r="K27" s="16">
        <v>1.1599999999999999</v>
      </c>
      <c r="L27" s="16">
        <v>0.8</v>
      </c>
    </row>
    <row r="28" spans="1:12">
      <c r="A28" t="s">
        <v>95</v>
      </c>
      <c r="B28" s="3">
        <v>46068</v>
      </c>
      <c r="C28" t="s">
        <v>91</v>
      </c>
      <c r="D28" t="s">
        <v>37</v>
      </c>
      <c r="E28">
        <v>4</v>
      </c>
      <c r="F28">
        <v>0</v>
      </c>
      <c r="G28" t="s">
        <v>27</v>
      </c>
      <c r="H28" t="s">
        <v>38</v>
      </c>
      <c r="I28">
        <v>2335</v>
      </c>
      <c r="J28">
        <v>1410</v>
      </c>
      <c r="K28" s="16">
        <v>2.63</v>
      </c>
      <c r="L28" s="16">
        <v>0.3</v>
      </c>
    </row>
    <row r="29" spans="1:12">
      <c r="A29" t="s">
        <v>96</v>
      </c>
      <c r="B29" s="3">
        <v>46073</v>
      </c>
      <c r="C29" t="s">
        <v>89</v>
      </c>
      <c r="D29" t="s">
        <v>12</v>
      </c>
      <c r="E29">
        <v>1</v>
      </c>
      <c r="F29">
        <v>0</v>
      </c>
      <c r="G29" t="s">
        <v>39</v>
      </c>
      <c r="H29" t="s">
        <v>13</v>
      </c>
      <c r="I29">
        <v>150</v>
      </c>
      <c r="J29">
        <v>5</v>
      </c>
      <c r="K29" s="16">
        <v>0.92</v>
      </c>
      <c r="L29" s="16">
        <v>0.3</v>
      </c>
    </row>
    <row r="30" spans="1:12">
      <c r="A30" t="s">
        <v>96</v>
      </c>
      <c r="B30" s="3">
        <v>46074</v>
      </c>
      <c r="C30" t="s">
        <v>90</v>
      </c>
      <c r="D30" t="s">
        <v>30</v>
      </c>
      <c r="E30">
        <v>3</v>
      </c>
      <c r="F30">
        <v>1</v>
      </c>
      <c r="G30" t="s">
        <v>37</v>
      </c>
      <c r="H30" t="s">
        <v>31</v>
      </c>
      <c r="I30">
        <v>2750</v>
      </c>
      <c r="J30">
        <v>2335</v>
      </c>
      <c r="K30" s="16">
        <v>2.17</v>
      </c>
      <c r="L30" s="16">
        <v>0.8</v>
      </c>
    </row>
    <row r="31" spans="1:12">
      <c r="A31" t="s">
        <v>96</v>
      </c>
      <c r="B31" s="3">
        <v>46074</v>
      </c>
      <c r="C31" t="s">
        <v>90</v>
      </c>
      <c r="D31" t="s">
        <v>42</v>
      </c>
      <c r="E31">
        <v>2</v>
      </c>
      <c r="F31">
        <v>2</v>
      </c>
      <c r="G31" t="s">
        <v>43</v>
      </c>
      <c r="H31" t="s">
        <v>13</v>
      </c>
      <c r="I31">
        <v>150</v>
      </c>
      <c r="J31">
        <v>150</v>
      </c>
      <c r="K31" s="16">
        <v>1.41</v>
      </c>
      <c r="L31" s="16">
        <v>1.3</v>
      </c>
    </row>
    <row r="32" spans="1:12">
      <c r="A32" t="s">
        <v>96</v>
      </c>
      <c r="B32" s="3">
        <v>46074</v>
      </c>
      <c r="C32" t="s">
        <v>90</v>
      </c>
      <c r="D32" t="s">
        <v>17</v>
      </c>
      <c r="E32">
        <v>1</v>
      </c>
      <c r="F32">
        <v>1</v>
      </c>
      <c r="G32" t="s">
        <v>9</v>
      </c>
      <c r="H32" t="s">
        <v>18</v>
      </c>
      <c r="I32">
        <v>3399</v>
      </c>
      <c r="J32">
        <v>60</v>
      </c>
      <c r="K32" s="16">
        <v>1.24</v>
      </c>
      <c r="L32" s="16">
        <v>0.8</v>
      </c>
    </row>
    <row r="33" spans="1:12">
      <c r="A33" t="s">
        <v>96</v>
      </c>
      <c r="B33" s="3">
        <v>46075</v>
      </c>
      <c r="C33" t="s">
        <v>91</v>
      </c>
      <c r="D33" t="s">
        <v>5</v>
      </c>
      <c r="E33">
        <v>2</v>
      </c>
      <c r="F33">
        <v>2</v>
      </c>
      <c r="G33" t="s">
        <v>44</v>
      </c>
      <c r="H33" t="s">
        <v>6</v>
      </c>
      <c r="I33">
        <v>3050</v>
      </c>
      <c r="J33">
        <v>2750</v>
      </c>
      <c r="K33" s="16">
        <v>1.7</v>
      </c>
      <c r="L33" s="16">
        <v>1.3</v>
      </c>
    </row>
    <row r="34" spans="1:12">
      <c r="A34" t="s">
        <v>96</v>
      </c>
      <c r="B34" s="3">
        <v>46075</v>
      </c>
      <c r="C34" t="s">
        <v>91</v>
      </c>
      <c r="D34" t="s">
        <v>35</v>
      </c>
      <c r="E34">
        <v>3</v>
      </c>
      <c r="F34">
        <v>2</v>
      </c>
      <c r="G34" t="s">
        <v>24</v>
      </c>
      <c r="H34" t="s">
        <v>36</v>
      </c>
      <c r="I34">
        <v>2926</v>
      </c>
      <c r="J34">
        <v>3259</v>
      </c>
      <c r="K34" s="16">
        <v>2.19</v>
      </c>
      <c r="L34" s="16">
        <v>1.3</v>
      </c>
    </row>
    <row r="35" spans="1:12">
      <c r="A35" t="s">
        <v>96</v>
      </c>
      <c r="B35" s="3">
        <v>46075</v>
      </c>
      <c r="C35" t="s">
        <v>91</v>
      </c>
      <c r="D35" t="s">
        <v>15</v>
      </c>
      <c r="E35">
        <v>1</v>
      </c>
      <c r="F35">
        <v>2</v>
      </c>
      <c r="G35" t="s">
        <v>32</v>
      </c>
      <c r="H35" t="s">
        <v>16</v>
      </c>
      <c r="I35">
        <v>29</v>
      </c>
      <c r="J35">
        <v>209</v>
      </c>
      <c r="K35" s="16">
        <v>0.9</v>
      </c>
      <c r="L35" s="16">
        <v>1.3</v>
      </c>
    </row>
    <row r="36" spans="1:12">
      <c r="A36" t="s">
        <v>96</v>
      </c>
      <c r="B36" s="3">
        <v>46075</v>
      </c>
      <c r="C36" t="s">
        <v>91</v>
      </c>
      <c r="D36" t="s">
        <v>23</v>
      </c>
      <c r="E36">
        <v>3</v>
      </c>
      <c r="F36">
        <v>1</v>
      </c>
      <c r="G36" t="s">
        <v>19</v>
      </c>
      <c r="H36" t="s">
        <v>18</v>
      </c>
      <c r="I36">
        <v>3399</v>
      </c>
      <c r="J36">
        <v>2637</v>
      </c>
      <c r="K36" s="16">
        <v>2.2400000000000002</v>
      </c>
      <c r="L36" s="16">
        <v>0.8</v>
      </c>
    </row>
    <row r="37" spans="1:12">
      <c r="A37" t="s">
        <v>96</v>
      </c>
      <c r="B37" s="3">
        <v>46076</v>
      </c>
      <c r="C37" t="s">
        <v>146</v>
      </c>
      <c r="D37" t="s">
        <v>27</v>
      </c>
      <c r="E37">
        <v>1</v>
      </c>
      <c r="F37">
        <v>0</v>
      </c>
      <c r="G37" t="s">
        <v>26</v>
      </c>
      <c r="H37" t="s">
        <v>28</v>
      </c>
      <c r="I37">
        <v>1410</v>
      </c>
      <c r="J37">
        <v>3399</v>
      </c>
      <c r="K37" s="16">
        <v>1.04</v>
      </c>
      <c r="L37" s="16">
        <v>0.3</v>
      </c>
    </row>
    <row r="38" spans="1:12">
      <c r="A38" t="s">
        <v>97</v>
      </c>
      <c r="B38" s="3">
        <v>46080</v>
      </c>
      <c r="C38" t="s">
        <v>89</v>
      </c>
      <c r="D38" t="s">
        <v>9</v>
      </c>
      <c r="E38">
        <v>0</v>
      </c>
      <c r="F38">
        <v>0</v>
      </c>
      <c r="G38" t="s">
        <v>5</v>
      </c>
      <c r="H38" t="s">
        <v>10</v>
      </c>
      <c r="I38">
        <v>60</v>
      </c>
      <c r="J38">
        <v>3050</v>
      </c>
      <c r="K38" s="16">
        <v>0.41</v>
      </c>
      <c r="L38" s="16">
        <v>0.3</v>
      </c>
    </row>
    <row r="39" spans="1:12">
      <c r="A39" t="s">
        <v>97</v>
      </c>
      <c r="B39" s="3">
        <v>46080</v>
      </c>
      <c r="C39" t="s">
        <v>89</v>
      </c>
      <c r="D39" t="s">
        <v>37</v>
      </c>
      <c r="E39">
        <v>1</v>
      </c>
      <c r="F39">
        <v>2</v>
      </c>
      <c r="G39" t="s">
        <v>35</v>
      </c>
      <c r="H39" t="s">
        <v>38</v>
      </c>
      <c r="I39">
        <v>2335</v>
      </c>
      <c r="J39">
        <v>2926</v>
      </c>
      <c r="K39" s="16">
        <v>1.1299999999999999</v>
      </c>
      <c r="L39" s="16">
        <v>1.3</v>
      </c>
    </row>
    <row r="40" spans="1:12">
      <c r="A40" t="s">
        <v>97</v>
      </c>
      <c r="B40" s="3">
        <v>46080</v>
      </c>
      <c r="C40" t="s">
        <v>89</v>
      </c>
      <c r="D40" t="s">
        <v>26</v>
      </c>
      <c r="E40">
        <v>2</v>
      </c>
      <c r="F40">
        <v>3</v>
      </c>
      <c r="G40" t="s">
        <v>17</v>
      </c>
      <c r="H40" t="s">
        <v>18</v>
      </c>
      <c r="I40">
        <v>3399</v>
      </c>
      <c r="J40">
        <v>3399</v>
      </c>
      <c r="K40" s="16">
        <v>1.74</v>
      </c>
      <c r="L40" s="16">
        <v>1.8</v>
      </c>
    </row>
    <row r="41" spans="1:12">
      <c r="A41" t="s">
        <v>97</v>
      </c>
      <c r="B41" s="3">
        <v>46081</v>
      </c>
      <c r="C41" t="s">
        <v>90</v>
      </c>
      <c r="D41" t="s">
        <v>24</v>
      </c>
      <c r="E41">
        <v>2</v>
      </c>
      <c r="F41">
        <v>1</v>
      </c>
      <c r="G41" t="s">
        <v>42</v>
      </c>
      <c r="H41" t="s">
        <v>25</v>
      </c>
      <c r="I41">
        <v>3259</v>
      </c>
      <c r="J41">
        <v>150</v>
      </c>
      <c r="K41" s="16">
        <v>1.73</v>
      </c>
      <c r="L41" s="16">
        <v>0.8</v>
      </c>
    </row>
    <row r="42" spans="1:12">
      <c r="A42" t="s">
        <v>97</v>
      </c>
      <c r="B42" s="3">
        <v>46081</v>
      </c>
      <c r="C42" t="s">
        <v>90</v>
      </c>
      <c r="D42" t="s">
        <v>44</v>
      </c>
      <c r="E42">
        <v>0</v>
      </c>
      <c r="F42">
        <v>1</v>
      </c>
      <c r="G42" t="s">
        <v>12</v>
      </c>
      <c r="H42" t="s">
        <v>31</v>
      </c>
      <c r="I42">
        <v>2750</v>
      </c>
      <c r="J42">
        <v>150</v>
      </c>
      <c r="K42" s="16">
        <v>0.68</v>
      </c>
      <c r="L42" s="16">
        <v>0.8</v>
      </c>
    </row>
    <row r="43" spans="1:12">
      <c r="A43" t="s">
        <v>97</v>
      </c>
      <c r="B43" s="3">
        <v>46081</v>
      </c>
      <c r="C43" t="s">
        <v>90</v>
      </c>
      <c r="D43" t="s">
        <v>39</v>
      </c>
      <c r="E43">
        <v>0</v>
      </c>
      <c r="F43">
        <v>0</v>
      </c>
      <c r="G43" t="s">
        <v>27</v>
      </c>
      <c r="H43" t="s">
        <v>40</v>
      </c>
      <c r="I43">
        <v>5</v>
      </c>
      <c r="J43">
        <v>1410</v>
      </c>
      <c r="K43" s="16">
        <v>0.4</v>
      </c>
      <c r="L43" s="16">
        <v>0.3</v>
      </c>
    </row>
    <row r="44" spans="1:12">
      <c r="A44" t="s">
        <v>97</v>
      </c>
      <c r="B44" s="3">
        <v>46082</v>
      </c>
      <c r="C44" t="s">
        <v>91</v>
      </c>
      <c r="D44" t="s">
        <v>19</v>
      </c>
      <c r="E44">
        <v>3</v>
      </c>
      <c r="F44">
        <v>1</v>
      </c>
      <c r="G44" t="s">
        <v>15</v>
      </c>
      <c r="H44" t="s">
        <v>20</v>
      </c>
      <c r="I44">
        <v>2637</v>
      </c>
      <c r="J44">
        <v>29</v>
      </c>
      <c r="K44" s="16">
        <v>2.16</v>
      </c>
      <c r="L44" s="16">
        <v>0.8</v>
      </c>
    </row>
    <row r="45" spans="1:12">
      <c r="A45" t="s">
        <v>97</v>
      </c>
      <c r="B45" s="3">
        <v>46082</v>
      </c>
      <c r="C45" t="s">
        <v>91</v>
      </c>
      <c r="D45" t="s">
        <v>32</v>
      </c>
      <c r="E45">
        <v>2</v>
      </c>
      <c r="F45">
        <v>1</v>
      </c>
      <c r="G45" t="s">
        <v>23</v>
      </c>
      <c r="H45" t="s">
        <v>33</v>
      </c>
      <c r="I45">
        <v>209</v>
      </c>
      <c r="J45">
        <v>3399</v>
      </c>
      <c r="K45" s="16">
        <v>1.42</v>
      </c>
      <c r="L45" s="16">
        <v>0.8</v>
      </c>
    </row>
    <row r="46" spans="1:12">
      <c r="A46" t="s">
        <v>97</v>
      </c>
      <c r="B46" s="3">
        <v>46082</v>
      </c>
      <c r="C46" t="s">
        <v>91</v>
      </c>
      <c r="D46" t="s">
        <v>43</v>
      </c>
      <c r="E46">
        <v>1</v>
      </c>
      <c r="F46">
        <v>0</v>
      </c>
      <c r="G46" t="s">
        <v>30</v>
      </c>
      <c r="H46" t="s">
        <v>13</v>
      </c>
      <c r="I46">
        <v>150</v>
      </c>
      <c r="J46">
        <v>2750</v>
      </c>
      <c r="K46" s="16">
        <v>0.92</v>
      </c>
      <c r="L46" s="16">
        <v>0.3</v>
      </c>
    </row>
    <row r="47" spans="1:12">
      <c r="A47" t="s">
        <v>98</v>
      </c>
      <c r="B47" s="3">
        <v>46087</v>
      </c>
      <c r="C47" t="s">
        <v>89</v>
      </c>
      <c r="D47" t="s">
        <v>15</v>
      </c>
      <c r="E47">
        <v>1</v>
      </c>
      <c r="F47">
        <v>0</v>
      </c>
      <c r="G47" t="s">
        <v>30</v>
      </c>
      <c r="H47" t="s">
        <v>16</v>
      </c>
      <c r="I47">
        <v>29</v>
      </c>
      <c r="J47">
        <v>2750</v>
      </c>
      <c r="K47" s="16">
        <v>0.9</v>
      </c>
      <c r="L47" s="16">
        <v>0.3</v>
      </c>
    </row>
    <row r="48" spans="1:12">
      <c r="A48" t="s">
        <v>98</v>
      </c>
      <c r="B48" s="3">
        <v>46088</v>
      </c>
      <c r="C48" t="s">
        <v>90</v>
      </c>
      <c r="D48" t="s">
        <v>27</v>
      </c>
      <c r="E48">
        <v>2</v>
      </c>
      <c r="F48">
        <v>1</v>
      </c>
      <c r="G48" t="s">
        <v>24</v>
      </c>
      <c r="H48" t="s">
        <v>28</v>
      </c>
      <c r="I48">
        <v>1410</v>
      </c>
      <c r="J48">
        <v>3259</v>
      </c>
      <c r="K48" s="16">
        <v>1.54</v>
      </c>
      <c r="L48" s="16">
        <v>0.8</v>
      </c>
    </row>
    <row r="49" spans="1:12">
      <c r="A49" t="s">
        <v>98</v>
      </c>
      <c r="B49" s="3">
        <v>46088</v>
      </c>
      <c r="C49" t="s">
        <v>90</v>
      </c>
      <c r="D49" t="s">
        <v>19</v>
      </c>
      <c r="E49">
        <v>1</v>
      </c>
      <c r="F49">
        <v>2</v>
      </c>
      <c r="G49" t="s">
        <v>44</v>
      </c>
      <c r="H49" t="s">
        <v>20</v>
      </c>
      <c r="I49">
        <v>2637</v>
      </c>
      <c r="J49">
        <v>2750</v>
      </c>
      <c r="K49" s="16">
        <v>1.1599999999999999</v>
      </c>
      <c r="L49" s="16">
        <v>1.3</v>
      </c>
    </row>
    <row r="50" spans="1:12">
      <c r="A50" t="s">
        <v>98</v>
      </c>
      <c r="B50" s="3">
        <v>46088</v>
      </c>
      <c r="C50" t="s">
        <v>90</v>
      </c>
      <c r="D50" t="s">
        <v>42</v>
      </c>
      <c r="E50">
        <v>3</v>
      </c>
      <c r="F50">
        <v>1</v>
      </c>
      <c r="G50" t="s">
        <v>9</v>
      </c>
      <c r="H50" t="s">
        <v>13</v>
      </c>
      <c r="I50">
        <v>150</v>
      </c>
      <c r="J50">
        <v>60</v>
      </c>
      <c r="K50" s="16">
        <v>1.91</v>
      </c>
      <c r="L50" s="16">
        <v>0.8</v>
      </c>
    </row>
    <row r="51" spans="1:12">
      <c r="A51" t="s">
        <v>98</v>
      </c>
      <c r="B51" s="3">
        <v>46088</v>
      </c>
      <c r="C51" t="s">
        <v>90</v>
      </c>
      <c r="D51" t="s">
        <v>23</v>
      </c>
      <c r="E51">
        <v>1</v>
      </c>
      <c r="F51">
        <v>0</v>
      </c>
      <c r="G51" t="s">
        <v>26</v>
      </c>
      <c r="H51" t="s">
        <v>18</v>
      </c>
      <c r="I51">
        <v>3399</v>
      </c>
      <c r="J51">
        <v>3399</v>
      </c>
      <c r="K51" s="16">
        <v>1.24</v>
      </c>
      <c r="L51" s="16">
        <v>0.3</v>
      </c>
    </row>
    <row r="52" spans="1:12">
      <c r="A52" t="s">
        <v>98</v>
      </c>
      <c r="B52" s="3">
        <v>46089</v>
      </c>
      <c r="C52" t="s">
        <v>91</v>
      </c>
      <c r="D52" t="s">
        <v>5</v>
      </c>
      <c r="E52">
        <v>2</v>
      </c>
      <c r="F52">
        <v>3</v>
      </c>
      <c r="G52" t="s">
        <v>32</v>
      </c>
      <c r="H52" t="s">
        <v>6</v>
      </c>
      <c r="I52">
        <v>3050</v>
      </c>
      <c r="J52">
        <v>209</v>
      </c>
      <c r="K52" s="16">
        <v>1.7</v>
      </c>
      <c r="L52" s="16">
        <v>1.8</v>
      </c>
    </row>
    <row r="53" spans="1:12">
      <c r="A53" t="s">
        <v>98</v>
      </c>
      <c r="B53" s="3">
        <v>46089</v>
      </c>
      <c r="C53" t="s">
        <v>91</v>
      </c>
      <c r="D53" t="s">
        <v>35</v>
      </c>
      <c r="E53">
        <v>3</v>
      </c>
      <c r="F53">
        <v>1</v>
      </c>
      <c r="G53" t="s">
        <v>43</v>
      </c>
      <c r="H53" t="s">
        <v>36</v>
      </c>
      <c r="I53">
        <v>2926</v>
      </c>
      <c r="J53">
        <v>150</v>
      </c>
      <c r="K53" s="16">
        <v>2.19</v>
      </c>
      <c r="L53" s="16">
        <v>0.8</v>
      </c>
    </row>
    <row r="54" spans="1:12">
      <c r="A54" t="s">
        <v>98</v>
      </c>
      <c r="B54" s="3">
        <v>46090</v>
      </c>
      <c r="C54" t="s">
        <v>146</v>
      </c>
      <c r="D54" t="s">
        <v>17</v>
      </c>
      <c r="E54">
        <v>3</v>
      </c>
      <c r="F54">
        <v>1</v>
      </c>
      <c r="G54" t="s">
        <v>39</v>
      </c>
      <c r="H54" t="s">
        <v>18</v>
      </c>
      <c r="I54">
        <v>3399</v>
      </c>
      <c r="J54">
        <v>5</v>
      </c>
      <c r="K54" s="16">
        <v>2.2400000000000002</v>
      </c>
      <c r="L54" s="16">
        <v>0.8</v>
      </c>
    </row>
    <row r="55" spans="1:12">
      <c r="A55" t="s">
        <v>98</v>
      </c>
      <c r="B55" s="3">
        <v>46090</v>
      </c>
      <c r="C55" t="s">
        <v>146</v>
      </c>
      <c r="D55" t="s">
        <v>12</v>
      </c>
      <c r="E55">
        <v>3</v>
      </c>
      <c r="F55">
        <v>1</v>
      </c>
      <c r="G55" t="s">
        <v>37</v>
      </c>
      <c r="H55" t="s">
        <v>13</v>
      </c>
      <c r="I55">
        <v>150</v>
      </c>
      <c r="J55">
        <v>2335</v>
      </c>
      <c r="K55" s="16">
        <v>1.91</v>
      </c>
      <c r="L55" s="16">
        <v>0.8</v>
      </c>
    </row>
    <row r="56" spans="1:12">
      <c r="A56" t="s">
        <v>99</v>
      </c>
      <c r="B56" s="3">
        <v>46094</v>
      </c>
      <c r="C56" t="s">
        <v>89</v>
      </c>
      <c r="D56" t="s">
        <v>30</v>
      </c>
      <c r="E56">
        <v>3</v>
      </c>
      <c r="F56">
        <v>4</v>
      </c>
      <c r="G56" t="s">
        <v>19</v>
      </c>
      <c r="H56" t="s">
        <v>31</v>
      </c>
      <c r="I56">
        <v>2750</v>
      </c>
      <c r="J56">
        <v>2637</v>
      </c>
      <c r="K56" s="16">
        <v>2.17</v>
      </c>
      <c r="L56" s="16">
        <v>2.2999999999999998</v>
      </c>
    </row>
    <row r="57" spans="1:12">
      <c r="A57" t="s">
        <v>99</v>
      </c>
      <c r="B57" s="3">
        <v>46095</v>
      </c>
      <c r="C57" t="s">
        <v>90</v>
      </c>
      <c r="D57" t="s">
        <v>24</v>
      </c>
      <c r="E57">
        <v>0</v>
      </c>
      <c r="F57">
        <v>1</v>
      </c>
      <c r="G57" t="s">
        <v>5</v>
      </c>
      <c r="H57" t="s">
        <v>25</v>
      </c>
      <c r="I57">
        <v>3259</v>
      </c>
      <c r="J57">
        <v>3050</v>
      </c>
      <c r="K57" s="16">
        <v>0.73</v>
      </c>
      <c r="L57" s="16">
        <v>0.8</v>
      </c>
    </row>
    <row r="58" spans="1:12">
      <c r="A58" t="s">
        <v>99</v>
      </c>
      <c r="B58" s="3">
        <v>46095</v>
      </c>
      <c r="C58" t="s">
        <v>90</v>
      </c>
      <c r="D58" t="s">
        <v>32</v>
      </c>
      <c r="E58">
        <v>2</v>
      </c>
      <c r="F58">
        <v>3</v>
      </c>
      <c r="G58" t="s">
        <v>35</v>
      </c>
      <c r="H58" t="s">
        <v>33</v>
      </c>
      <c r="I58">
        <v>209</v>
      </c>
      <c r="J58">
        <v>2926</v>
      </c>
      <c r="K58" s="16">
        <v>1.42</v>
      </c>
      <c r="L58" s="16">
        <v>1.8</v>
      </c>
    </row>
    <row r="59" spans="1:12">
      <c r="A59" t="s">
        <v>99</v>
      </c>
      <c r="B59" s="3">
        <v>46095</v>
      </c>
      <c r="C59" t="s">
        <v>91</v>
      </c>
      <c r="D59" t="s">
        <v>26</v>
      </c>
      <c r="E59">
        <v>1</v>
      </c>
      <c r="F59">
        <v>1</v>
      </c>
      <c r="G59" t="s">
        <v>12</v>
      </c>
      <c r="H59" t="s">
        <v>18</v>
      </c>
      <c r="I59">
        <v>3399</v>
      </c>
      <c r="J59">
        <v>150</v>
      </c>
      <c r="K59" s="16">
        <v>1.24</v>
      </c>
      <c r="L59" s="16">
        <v>0.8</v>
      </c>
    </row>
    <row r="60" spans="1:12">
      <c r="A60" t="s">
        <v>99</v>
      </c>
      <c r="B60" s="3">
        <v>46095</v>
      </c>
      <c r="C60" t="s">
        <v>91</v>
      </c>
      <c r="D60" t="s">
        <v>43</v>
      </c>
      <c r="E60">
        <v>2</v>
      </c>
      <c r="F60">
        <v>0</v>
      </c>
      <c r="G60" t="s">
        <v>44</v>
      </c>
      <c r="H60" t="s">
        <v>13</v>
      </c>
      <c r="I60">
        <v>150</v>
      </c>
      <c r="J60">
        <v>2750</v>
      </c>
      <c r="K60" s="16">
        <v>1.41</v>
      </c>
      <c r="L60" s="16">
        <v>0.3</v>
      </c>
    </row>
    <row r="61" spans="1:12">
      <c r="A61" t="s">
        <v>99</v>
      </c>
      <c r="B61" s="3">
        <v>46096</v>
      </c>
      <c r="C61" t="s">
        <v>91</v>
      </c>
      <c r="D61" t="s">
        <v>42</v>
      </c>
      <c r="E61">
        <v>3</v>
      </c>
      <c r="F61">
        <v>0</v>
      </c>
      <c r="G61" t="s">
        <v>39</v>
      </c>
      <c r="H61" t="s">
        <v>13</v>
      </c>
      <c r="I61">
        <v>150</v>
      </c>
      <c r="J61">
        <v>5</v>
      </c>
      <c r="K61" s="16">
        <v>1.91</v>
      </c>
      <c r="L61" s="16">
        <v>0.3</v>
      </c>
    </row>
    <row r="62" spans="1:12">
      <c r="A62" t="s">
        <v>99</v>
      </c>
      <c r="B62" s="3">
        <v>46096</v>
      </c>
      <c r="C62" t="s">
        <v>91</v>
      </c>
      <c r="D62" t="s">
        <v>37</v>
      </c>
      <c r="E62">
        <v>0</v>
      </c>
      <c r="F62">
        <v>0</v>
      </c>
      <c r="G62" t="s">
        <v>15</v>
      </c>
      <c r="H62" t="s">
        <v>38</v>
      </c>
      <c r="I62">
        <v>2335</v>
      </c>
      <c r="J62">
        <v>29</v>
      </c>
      <c r="K62" s="16">
        <v>0.63</v>
      </c>
      <c r="L62" s="16">
        <v>0.3</v>
      </c>
    </row>
    <row r="63" spans="1:12">
      <c r="A63" t="s">
        <v>99</v>
      </c>
      <c r="B63" s="3">
        <v>46096</v>
      </c>
      <c r="C63" t="s">
        <v>91</v>
      </c>
      <c r="D63" t="s">
        <v>9</v>
      </c>
      <c r="E63">
        <v>3</v>
      </c>
      <c r="F63">
        <v>0</v>
      </c>
      <c r="G63" t="s">
        <v>27</v>
      </c>
      <c r="H63" t="s">
        <v>10</v>
      </c>
      <c r="I63">
        <v>60</v>
      </c>
      <c r="J63">
        <v>1410</v>
      </c>
      <c r="K63" s="16">
        <v>1.91</v>
      </c>
      <c r="L63" s="16">
        <v>0.3</v>
      </c>
    </row>
    <row r="64" spans="1:12">
      <c r="A64" t="s">
        <v>99</v>
      </c>
      <c r="B64" s="3">
        <v>46096</v>
      </c>
      <c r="C64" t="s">
        <v>91</v>
      </c>
      <c r="D64" t="s">
        <v>23</v>
      </c>
      <c r="E64">
        <v>1</v>
      </c>
      <c r="F64">
        <v>2</v>
      </c>
      <c r="G64" t="s">
        <v>17</v>
      </c>
      <c r="H64" t="s">
        <v>18</v>
      </c>
      <c r="I64">
        <v>3399</v>
      </c>
      <c r="J64">
        <v>3399</v>
      </c>
      <c r="K64" s="16">
        <v>1.24</v>
      </c>
      <c r="L64" s="16">
        <v>1.3</v>
      </c>
    </row>
    <row r="65" spans="1:12">
      <c r="A65" t="s">
        <v>100</v>
      </c>
      <c r="B65" s="3">
        <v>46101</v>
      </c>
      <c r="C65" t="s">
        <v>89</v>
      </c>
      <c r="D65" t="s">
        <v>5</v>
      </c>
      <c r="E65">
        <v>1</v>
      </c>
      <c r="F65">
        <v>1</v>
      </c>
      <c r="G65" t="s">
        <v>37</v>
      </c>
      <c r="H65" t="s">
        <v>6</v>
      </c>
      <c r="I65">
        <v>3050</v>
      </c>
      <c r="J65">
        <v>2335</v>
      </c>
      <c r="K65" s="16">
        <v>1.21</v>
      </c>
      <c r="L65" s="16">
        <v>0.8</v>
      </c>
    </row>
    <row r="66" spans="1:12">
      <c r="A66" t="s">
        <v>100</v>
      </c>
      <c r="B66" s="3">
        <v>46101</v>
      </c>
      <c r="C66" t="s">
        <v>89</v>
      </c>
      <c r="D66" t="s">
        <v>17</v>
      </c>
      <c r="E66">
        <v>3</v>
      </c>
      <c r="F66">
        <v>0</v>
      </c>
      <c r="G66" t="s">
        <v>30</v>
      </c>
      <c r="H66" t="s">
        <v>18</v>
      </c>
      <c r="I66">
        <v>3399</v>
      </c>
      <c r="J66">
        <v>2750</v>
      </c>
      <c r="K66" s="16">
        <v>2.2400000000000002</v>
      </c>
      <c r="L66" s="16">
        <v>0.3</v>
      </c>
    </row>
    <row r="67" spans="1:12">
      <c r="A67" t="s">
        <v>100</v>
      </c>
      <c r="B67" s="3">
        <v>46102</v>
      </c>
      <c r="C67" t="s">
        <v>90</v>
      </c>
      <c r="D67" t="s">
        <v>27</v>
      </c>
      <c r="E67">
        <v>1</v>
      </c>
      <c r="F67">
        <v>2</v>
      </c>
      <c r="G67" t="s">
        <v>23</v>
      </c>
      <c r="H67" t="s">
        <v>28</v>
      </c>
      <c r="I67">
        <v>1410</v>
      </c>
      <c r="J67">
        <v>3399</v>
      </c>
      <c r="K67" s="16">
        <v>1.04</v>
      </c>
      <c r="L67" s="16">
        <v>1.3</v>
      </c>
    </row>
    <row r="68" spans="1:12">
      <c r="A68" t="s">
        <v>100</v>
      </c>
      <c r="B68" s="3">
        <v>46102</v>
      </c>
      <c r="C68" t="s">
        <v>90</v>
      </c>
      <c r="D68" t="s">
        <v>19</v>
      </c>
      <c r="E68">
        <v>0</v>
      </c>
      <c r="F68">
        <v>0</v>
      </c>
      <c r="G68" t="s">
        <v>43</v>
      </c>
      <c r="H68" t="s">
        <v>20</v>
      </c>
      <c r="I68">
        <v>2637</v>
      </c>
      <c r="J68">
        <v>150</v>
      </c>
      <c r="K68" s="16">
        <v>0.66</v>
      </c>
      <c r="L68" s="16">
        <v>0.3</v>
      </c>
    </row>
    <row r="69" spans="1:12">
      <c r="A69" t="s">
        <v>100</v>
      </c>
      <c r="B69" s="3">
        <v>46102</v>
      </c>
      <c r="C69" t="s">
        <v>90</v>
      </c>
      <c r="D69" t="s">
        <v>35</v>
      </c>
      <c r="E69">
        <v>3</v>
      </c>
      <c r="F69">
        <v>2</v>
      </c>
      <c r="G69" t="s">
        <v>42</v>
      </c>
      <c r="H69" t="s">
        <v>36</v>
      </c>
      <c r="I69">
        <v>2926</v>
      </c>
      <c r="J69">
        <v>150</v>
      </c>
      <c r="K69" s="16">
        <v>2.19</v>
      </c>
      <c r="L69" s="16">
        <v>1.3</v>
      </c>
    </row>
    <row r="70" spans="1:12">
      <c r="A70" t="s">
        <v>100</v>
      </c>
      <c r="B70" s="3">
        <v>46102</v>
      </c>
      <c r="C70" t="s">
        <v>90</v>
      </c>
      <c r="D70" t="s">
        <v>12</v>
      </c>
      <c r="E70">
        <v>2</v>
      </c>
      <c r="F70">
        <v>0</v>
      </c>
      <c r="G70" t="s">
        <v>32</v>
      </c>
      <c r="H70" t="s">
        <v>13</v>
      </c>
      <c r="I70">
        <v>150</v>
      </c>
      <c r="J70">
        <v>209</v>
      </c>
      <c r="K70" s="16">
        <v>1.41</v>
      </c>
      <c r="L70" s="16">
        <v>0.3</v>
      </c>
    </row>
    <row r="71" spans="1:12">
      <c r="A71" t="s">
        <v>100</v>
      </c>
      <c r="B71" s="3">
        <v>46103</v>
      </c>
      <c r="C71" t="s">
        <v>91</v>
      </c>
      <c r="D71" t="s">
        <v>44</v>
      </c>
      <c r="E71">
        <v>1</v>
      </c>
      <c r="F71">
        <v>1</v>
      </c>
      <c r="G71" t="s">
        <v>9</v>
      </c>
      <c r="H71" t="s">
        <v>31</v>
      </c>
      <c r="I71">
        <v>2750</v>
      </c>
      <c r="J71">
        <v>60</v>
      </c>
      <c r="K71" s="16">
        <v>1.18</v>
      </c>
      <c r="L71" s="16">
        <v>0.8</v>
      </c>
    </row>
    <row r="72" spans="1:12">
      <c r="A72" t="s">
        <v>100</v>
      </c>
      <c r="B72" s="3">
        <v>46103</v>
      </c>
      <c r="C72" t="s">
        <v>91</v>
      </c>
      <c r="D72" t="s">
        <v>15</v>
      </c>
      <c r="E72">
        <v>0</v>
      </c>
      <c r="F72">
        <v>0</v>
      </c>
      <c r="G72" t="s">
        <v>26</v>
      </c>
      <c r="H72" t="s">
        <v>16</v>
      </c>
      <c r="I72">
        <v>29</v>
      </c>
      <c r="J72">
        <v>3399</v>
      </c>
      <c r="K72" s="16">
        <v>0.4</v>
      </c>
      <c r="L72" s="16">
        <v>0.3</v>
      </c>
    </row>
    <row r="73" spans="1:12">
      <c r="A73" t="s">
        <v>100</v>
      </c>
      <c r="B73" s="3">
        <v>46103</v>
      </c>
      <c r="C73" t="s">
        <v>91</v>
      </c>
      <c r="D73" t="s">
        <v>39</v>
      </c>
      <c r="E73">
        <v>3</v>
      </c>
      <c r="F73">
        <v>0</v>
      </c>
      <c r="G73" t="s">
        <v>24</v>
      </c>
      <c r="H73" t="s">
        <v>40</v>
      </c>
      <c r="I73">
        <v>5</v>
      </c>
      <c r="J73">
        <v>3259</v>
      </c>
      <c r="K73" s="16">
        <v>1.9</v>
      </c>
      <c r="L73" s="16">
        <v>0.3</v>
      </c>
    </row>
    <row r="74" spans="1:12">
      <c r="A74" t="s">
        <v>101</v>
      </c>
      <c r="B74" s="3">
        <v>46115</v>
      </c>
      <c r="C74" t="s">
        <v>89</v>
      </c>
      <c r="D74" t="s">
        <v>42</v>
      </c>
      <c r="E74">
        <v>1</v>
      </c>
      <c r="F74">
        <v>2</v>
      </c>
      <c r="G74" t="s">
        <v>27</v>
      </c>
      <c r="H74" t="s">
        <v>13</v>
      </c>
      <c r="I74">
        <v>150</v>
      </c>
      <c r="J74">
        <v>1410</v>
      </c>
      <c r="K74" s="16">
        <v>0.92</v>
      </c>
      <c r="L74" s="16">
        <v>1.3</v>
      </c>
    </row>
    <row r="75" spans="1:12">
      <c r="A75" t="s">
        <v>101</v>
      </c>
      <c r="B75" s="3">
        <v>46115</v>
      </c>
      <c r="C75" t="s">
        <v>89</v>
      </c>
      <c r="D75" t="s">
        <v>9</v>
      </c>
      <c r="E75">
        <v>2</v>
      </c>
      <c r="F75">
        <v>2</v>
      </c>
      <c r="G75" t="s">
        <v>15</v>
      </c>
      <c r="H75" t="s">
        <v>10</v>
      </c>
      <c r="I75">
        <v>60</v>
      </c>
      <c r="J75">
        <v>29</v>
      </c>
      <c r="K75" s="16">
        <v>1.41</v>
      </c>
      <c r="L75" s="16">
        <v>1.3</v>
      </c>
    </row>
    <row r="76" spans="1:12">
      <c r="A76" t="s">
        <v>101</v>
      </c>
      <c r="B76" s="3">
        <v>46115</v>
      </c>
      <c r="C76" t="s">
        <v>89</v>
      </c>
      <c r="D76" t="s">
        <v>17</v>
      </c>
      <c r="E76">
        <v>3</v>
      </c>
      <c r="F76">
        <v>2</v>
      </c>
      <c r="G76" t="s">
        <v>5</v>
      </c>
      <c r="H76" t="s">
        <v>18</v>
      </c>
      <c r="I76">
        <v>3399</v>
      </c>
      <c r="J76">
        <v>3050</v>
      </c>
      <c r="K76" s="16">
        <v>2.2400000000000002</v>
      </c>
      <c r="L76" s="16">
        <v>1.3</v>
      </c>
    </row>
    <row r="77" spans="1:12">
      <c r="A77" t="s">
        <v>101</v>
      </c>
      <c r="B77" s="3">
        <v>46116</v>
      </c>
      <c r="C77" t="s">
        <v>90</v>
      </c>
      <c r="D77" t="s">
        <v>26</v>
      </c>
      <c r="E77">
        <v>3</v>
      </c>
      <c r="F77">
        <v>2</v>
      </c>
      <c r="G77" t="s">
        <v>39</v>
      </c>
      <c r="H77" t="s">
        <v>18</v>
      </c>
      <c r="I77">
        <v>3399</v>
      </c>
      <c r="J77">
        <v>5</v>
      </c>
      <c r="K77" s="16">
        <v>2.2400000000000002</v>
      </c>
      <c r="L77" s="16">
        <v>1.3</v>
      </c>
    </row>
    <row r="78" spans="1:12">
      <c r="A78" t="s">
        <v>101</v>
      </c>
      <c r="B78" s="3">
        <v>46116</v>
      </c>
      <c r="C78" t="s">
        <v>90</v>
      </c>
      <c r="D78" t="s">
        <v>37</v>
      </c>
      <c r="E78">
        <v>1</v>
      </c>
      <c r="F78">
        <v>3</v>
      </c>
      <c r="G78" t="s">
        <v>23</v>
      </c>
      <c r="H78" t="s">
        <v>38</v>
      </c>
      <c r="I78">
        <v>2335</v>
      </c>
      <c r="J78">
        <v>3399</v>
      </c>
      <c r="K78" s="16">
        <v>1.1299999999999999</v>
      </c>
      <c r="L78" s="16">
        <v>1.8</v>
      </c>
    </row>
    <row r="79" spans="1:12">
      <c r="A79" t="s">
        <v>101</v>
      </c>
      <c r="B79" s="3">
        <v>46116</v>
      </c>
      <c r="C79" t="s">
        <v>90</v>
      </c>
      <c r="D79" t="s">
        <v>43</v>
      </c>
      <c r="E79">
        <v>1</v>
      </c>
      <c r="F79">
        <v>0</v>
      </c>
      <c r="G79" t="s">
        <v>12</v>
      </c>
      <c r="H79" t="s">
        <v>13</v>
      </c>
      <c r="I79">
        <v>150</v>
      </c>
      <c r="J79">
        <v>150</v>
      </c>
      <c r="K79" s="16">
        <v>0.92</v>
      </c>
      <c r="L79" s="16">
        <v>0.3</v>
      </c>
    </row>
    <row r="80" spans="1:12">
      <c r="A80" t="s">
        <v>101</v>
      </c>
      <c r="B80" s="3">
        <v>46117</v>
      </c>
      <c r="C80" t="s">
        <v>91</v>
      </c>
      <c r="D80" t="s">
        <v>24</v>
      </c>
      <c r="E80">
        <v>1</v>
      </c>
      <c r="F80">
        <v>1</v>
      </c>
      <c r="G80" t="s">
        <v>19</v>
      </c>
      <c r="H80" t="s">
        <v>25</v>
      </c>
      <c r="I80">
        <v>3259</v>
      </c>
      <c r="J80">
        <v>2637</v>
      </c>
      <c r="K80" s="16">
        <v>1.23</v>
      </c>
      <c r="L80" s="16">
        <v>0.8</v>
      </c>
    </row>
    <row r="81" spans="1:12">
      <c r="A81" t="s">
        <v>101</v>
      </c>
      <c r="B81" s="3">
        <v>46117</v>
      </c>
      <c r="C81" t="s">
        <v>91</v>
      </c>
      <c r="D81" t="s">
        <v>32</v>
      </c>
      <c r="E81">
        <v>2</v>
      </c>
      <c r="F81">
        <v>1</v>
      </c>
      <c r="G81" t="s">
        <v>44</v>
      </c>
      <c r="H81" t="s">
        <v>33</v>
      </c>
      <c r="I81">
        <v>209</v>
      </c>
      <c r="J81">
        <v>2750</v>
      </c>
      <c r="K81" s="16">
        <v>1.42</v>
      </c>
      <c r="L81" s="16">
        <v>0.8</v>
      </c>
    </row>
    <row r="82" spans="1:12">
      <c r="A82" t="s">
        <v>101</v>
      </c>
      <c r="B82" s="3">
        <v>46118</v>
      </c>
      <c r="C82" t="s">
        <v>146</v>
      </c>
      <c r="D82" t="s">
        <v>30</v>
      </c>
      <c r="E82">
        <v>0</v>
      </c>
      <c r="F82">
        <v>1</v>
      </c>
      <c r="G82" t="s">
        <v>35</v>
      </c>
      <c r="H82" t="s">
        <v>31</v>
      </c>
      <c r="I82">
        <v>2750</v>
      </c>
      <c r="J82">
        <v>2926</v>
      </c>
      <c r="K82" s="16">
        <v>0.68</v>
      </c>
      <c r="L82" s="16">
        <v>0.8</v>
      </c>
    </row>
    <row r="83" spans="1:12">
      <c r="A83" t="s">
        <v>102</v>
      </c>
      <c r="B83" s="3">
        <v>46126</v>
      </c>
      <c r="C83" t="s">
        <v>147</v>
      </c>
      <c r="D83" t="s">
        <v>27</v>
      </c>
      <c r="E83">
        <v>3</v>
      </c>
      <c r="F83">
        <v>0</v>
      </c>
      <c r="G83" t="s">
        <v>32</v>
      </c>
      <c r="H83" t="s">
        <v>28</v>
      </c>
      <c r="I83">
        <v>1410</v>
      </c>
      <c r="J83">
        <v>209</v>
      </c>
      <c r="K83" s="16">
        <v>2.04</v>
      </c>
      <c r="L83" s="16">
        <v>0.3</v>
      </c>
    </row>
    <row r="84" spans="1:12">
      <c r="A84" t="s">
        <v>102</v>
      </c>
      <c r="B84" s="3">
        <v>46126</v>
      </c>
      <c r="C84" t="s">
        <v>147</v>
      </c>
      <c r="D84" t="s">
        <v>5</v>
      </c>
      <c r="E84">
        <v>0</v>
      </c>
      <c r="F84">
        <v>1</v>
      </c>
      <c r="G84" t="s">
        <v>12</v>
      </c>
      <c r="H84" t="s">
        <v>6</v>
      </c>
      <c r="I84">
        <v>3050</v>
      </c>
      <c r="J84">
        <v>150</v>
      </c>
      <c r="K84" s="16">
        <v>0.71</v>
      </c>
      <c r="L84" s="16">
        <v>0.8</v>
      </c>
    </row>
    <row r="85" spans="1:12">
      <c r="A85" t="s">
        <v>102</v>
      </c>
      <c r="B85" s="3">
        <v>46126</v>
      </c>
      <c r="C85" t="s">
        <v>147</v>
      </c>
      <c r="D85" t="s">
        <v>39</v>
      </c>
      <c r="E85">
        <v>1</v>
      </c>
      <c r="F85">
        <v>3</v>
      </c>
      <c r="G85" t="s">
        <v>37</v>
      </c>
      <c r="H85" t="s">
        <v>40</v>
      </c>
      <c r="I85">
        <v>5</v>
      </c>
      <c r="J85">
        <v>2335</v>
      </c>
      <c r="K85" s="16">
        <v>0.9</v>
      </c>
      <c r="L85" s="16">
        <v>1.8</v>
      </c>
    </row>
    <row r="86" spans="1:12">
      <c r="A86" t="s">
        <v>102</v>
      </c>
      <c r="B86" s="3">
        <v>46127</v>
      </c>
      <c r="C86" t="s">
        <v>145</v>
      </c>
      <c r="D86" t="s">
        <v>44</v>
      </c>
      <c r="E86">
        <v>2</v>
      </c>
      <c r="F86">
        <v>2</v>
      </c>
      <c r="G86" t="s">
        <v>24</v>
      </c>
      <c r="H86" t="s">
        <v>31</v>
      </c>
      <c r="I86">
        <v>2750</v>
      </c>
      <c r="J86">
        <v>3259</v>
      </c>
      <c r="K86" s="16">
        <v>1.67</v>
      </c>
      <c r="L86" s="16">
        <v>1.3</v>
      </c>
    </row>
    <row r="87" spans="1:12">
      <c r="A87" t="s">
        <v>102</v>
      </c>
      <c r="B87" s="3">
        <v>46134</v>
      </c>
      <c r="C87" t="s">
        <v>145</v>
      </c>
      <c r="D87" t="s">
        <v>19</v>
      </c>
      <c r="E87">
        <v>1</v>
      </c>
      <c r="F87">
        <v>0</v>
      </c>
      <c r="G87" t="s">
        <v>9</v>
      </c>
      <c r="H87" t="s">
        <v>20</v>
      </c>
      <c r="I87">
        <v>2637</v>
      </c>
      <c r="J87">
        <v>60</v>
      </c>
      <c r="K87" s="16">
        <v>1.1599999999999999</v>
      </c>
      <c r="L87" s="16">
        <v>0.3</v>
      </c>
    </row>
    <row r="88" spans="1:12">
      <c r="A88" t="s">
        <v>102</v>
      </c>
      <c r="B88" s="3">
        <v>46134</v>
      </c>
      <c r="C88" t="s">
        <v>145</v>
      </c>
      <c r="D88" t="s">
        <v>15</v>
      </c>
      <c r="E88">
        <v>4</v>
      </c>
      <c r="F88">
        <v>1</v>
      </c>
      <c r="G88" t="s">
        <v>42</v>
      </c>
      <c r="H88" t="s">
        <v>16</v>
      </c>
      <c r="I88">
        <v>29</v>
      </c>
      <c r="J88">
        <v>150</v>
      </c>
      <c r="K88" s="16">
        <v>2.4</v>
      </c>
      <c r="L88" s="16">
        <v>0.8</v>
      </c>
    </row>
    <row r="89" spans="1:12">
      <c r="A89" t="s">
        <v>102</v>
      </c>
      <c r="B89" s="3">
        <v>46134</v>
      </c>
      <c r="C89" t="s">
        <v>145</v>
      </c>
      <c r="D89" t="s">
        <v>23</v>
      </c>
      <c r="E89">
        <v>1</v>
      </c>
      <c r="F89">
        <v>0</v>
      </c>
      <c r="G89" t="s">
        <v>30</v>
      </c>
      <c r="H89" t="s">
        <v>18</v>
      </c>
      <c r="I89">
        <v>3399</v>
      </c>
      <c r="J89">
        <v>2750</v>
      </c>
      <c r="K89" s="16">
        <v>1.24</v>
      </c>
      <c r="L89" s="16">
        <v>0.3</v>
      </c>
    </row>
    <row r="90" spans="1:12">
      <c r="A90" t="s">
        <v>102</v>
      </c>
      <c r="B90" s="3">
        <v>46134</v>
      </c>
      <c r="C90" t="s">
        <v>145</v>
      </c>
      <c r="D90" t="s">
        <v>43</v>
      </c>
      <c r="E90">
        <v>4</v>
      </c>
      <c r="F90">
        <v>1</v>
      </c>
      <c r="G90" t="s">
        <v>26</v>
      </c>
      <c r="H90" t="s">
        <v>13</v>
      </c>
      <c r="I90">
        <v>150</v>
      </c>
      <c r="J90">
        <v>3399</v>
      </c>
      <c r="K90" s="16">
        <v>2.42</v>
      </c>
      <c r="L90" s="16">
        <v>0.8</v>
      </c>
    </row>
    <row r="91" spans="1:12">
      <c r="A91" t="s">
        <v>102</v>
      </c>
      <c r="B91" s="3">
        <v>46135</v>
      </c>
      <c r="C91" t="s">
        <v>144</v>
      </c>
      <c r="D91" t="s">
        <v>35</v>
      </c>
      <c r="E91">
        <v>1</v>
      </c>
      <c r="F91">
        <v>0</v>
      </c>
      <c r="G91" t="s">
        <v>17</v>
      </c>
      <c r="H91" t="s">
        <v>36</v>
      </c>
      <c r="I91">
        <v>2926</v>
      </c>
      <c r="J91">
        <v>3399</v>
      </c>
      <c r="K91" s="16">
        <v>1.19</v>
      </c>
      <c r="L91" s="16">
        <v>0.3</v>
      </c>
    </row>
    <row r="92" spans="1:12">
      <c r="A92" t="s">
        <v>103</v>
      </c>
      <c r="B92" s="3">
        <v>46129</v>
      </c>
      <c r="C92" t="s">
        <v>89</v>
      </c>
      <c r="D92" t="s">
        <v>35</v>
      </c>
      <c r="E92">
        <v>2</v>
      </c>
      <c r="F92">
        <v>0</v>
      </c>
      <c r="G92" t="s">
        <v>15</v>
      </c>
      <c r="H92" t="s">
        <v>36</v>
      </c>
      <c r="I92">
        <v>2926</v>
      </c>
      <c r="J92">
        <v>29</v>
      </c>
      <c r="K92" s="16">
        <v>1.69</v>
      </c>
      <c r="L92" s="16">
        <v>0.3</v>
      </c>
    </row>
    <row r="93" spans="1:12">
      <c r="A93" t="s">
        <v>103</v>
      </c>
      <c r="B93" s="3">
        <v>46130</v>
      </c>
      <c r="C93" t="s">
        <v>90</v>
      </c>
      <c r="D93" t="s">
        <v>30</v>
      </c>
      <c r="E93">
        <v>2</v>
      </c>
      <c r="F93">
        <v>2</v>
      </c>
      <c r="G93" t="s">
        <v>5</v>
      </c>
      <c r="H93" t="s">
        <v>31</v>
      </c>
      <c r="I93">
        <v>2750</v>
      </c>
      <c r="J93">
        <v>3050</v>
      </c>
      <c r="K93" s="16">
        <v>1.67</v>
      </c>
      <c r="L93" s="16">
        <v>1.3</v>
      </c>
    </row>
    <row r="94" spans="1:12">
      <c r="A94" t="s">
        <v>103</v>
      </c>
      <c r="B94" s="3">
        <v>46130</v>
      </c>
      <c r="C94" t="s">
        <v>90</v>
      </c>
      <c r="D94" t="s">
        <v>32</v>
      </c>
      <c r="E94">
        <v>2</v>
      </c>
      <c r="F94">
        <v>2</v>
      </c>
      <c r="G94" t="s">
        <v>19</v>
      </c>
      <c r="H94" t="s">
        <v>33</v>
      </c>
      <c r="I94">
        <v>209</v>
      </c>
      <c r="J94">
        <v>2637</v>
      </c>
      <c r="K94" s="16">
        <v>1.42</v>
      </c>
      <c r="L94" s="16">
        <v>1.3</v>
      </c>
    </row>
    <row r="95" spans="1:12">
      <c r="A95" t="s">
        <v>103</v>
      </c>
      <c r="B95" s="3">
        <v>46130</v>
      </c>
      <c r="C95" t="s">
        <v>90</v>
      </c>
      <c r="D95" t="s">
        <v>24</v>
      </c>
      <c r="E95">
        <v>2</v>
      </c>
      <c r="F95">
        <v>1</v>
      </c>
      <c r="G95" t="s">
        <v>26</v>
      </c>
      <c r="H95" t="s">
        <v>25</v>
      </c>
      <c r="I95">
        <v>3259</v>
      </c>
      <c r="J95">
        <v>3399</v>
      </c>
      <c r="K95" s="16">
        <v>1.73</v>
      </c>
      <c r="L95" s="16">
        <v>0.8</v>
      </c>
    </row>
    <row r="96" spans="1:12">
      <c r="A96" t="s">
        <v>103</v>
      </c>
      <c r="B96" s="3">
        <v>46130</v>
      </c>
      <c r="C96" t="s">
        <v>90</v>
      </c>
      <c r="D96" t="s">
        <v>12</v>
      </c>
      <c r="E96">
        <v>8</v>
      </c>
      <c r="F96">
        <v>0</v>
      </c>
      <c r="G96" t="s">
        <v>23</v>
      </c>
      <c r="H96" t="s">
        <v>13</v>
      </c>
      <c r="I96">
        <v>150</v>
      </c>
      <c r="J96">
        <v>3399</v>
      </c>
      <c r="K96" s="16">
        <v>4.42</v>
      </c>
      <c r="L96" s="16">
        <v>0.3</v>
      </c>
    </row>
    <row r="97" spans="1:12">
      <c r="A97" t="s">
        <v>103</v>
      </c>
      <c r="B97" s="3">
        <v>46131</v>
      </c>
      <c r="C97" t="s">
        <v>91</v>
      </c>
      <c r="D97" t="s">
        <v>42</v>
      </c>
      <c r="E97">
        <v>3</v>
      </c>
      <c r="F97">
        <v>2</v>
      </c>
      <c r="G97" t="s">
        <v>44</v>
      </c>
      <c r="H97" t="s">
        <v>13</v>
      </c>
      <c r="I97">
        <v>150</v>
      </c>
      <c r="J97">
        <v>2750</v>
      </c>
      <c r="K97" s="16">
        <v>1.91</v>
      </c>
      <c r="L97" s="16">
        <v>1.3</v>
      </c>
    </row>
    <row r="98" spans="1:12">
      <c r="A98" t="s">
        <v>103</v>
      </c>
      <c r="B98" s="3">
        <v>46131</v>
      </c>
      <c r="C98" t="s">
        <v>91</v>
      </c>
      <c r="D98" t="s">
        <v>9</v>
      </c>
      <c r="E98">
        <v>0</v>
      </c>
      <c r="F98">
        <v>1</v>
      </c>
      <c r="G98" t="s">
        <v>39</v>
      </c>
      <c r="H98" t="s">
        <v>10</v>
      </c>
      <c r="I98">
        <v>60</v>
      </c>
      <c r="J98">
        <v>5</v>
      </c>
      <c r="K98" s="16">
        <v>0.41</v>
      </c>
      <c r="L98" s="16">
        <v>0.8</v>
      </c>
    </row>
    <row r="99" spans="1:12">
      <c r="A99" t="s">
        <v>103</v>
      </c>
      <c r="B99" s="3">
        <v>46131</v>
      </c>
      <c r="C99" t="s">
        <v>91</v>
      </c>
      <c r="D99" t="s">
        <v>37</v>
      </c>
      <c r="E99">
        <v>2</v>
      </c>
      <c r="F99">
        <v>1</v>
      </c>
      <c r="G99" t="s">
        <v>43</v>
      </c>
      <c r="H99" t="s">
        <v>38</v>
      </c>
      <c r="I99">
        <v>2335</v>
      </c>
      <c r="J99">
        <v>150</v>
      </c>
      <c r="K99" s="16">
        <v>1.63</v>
      </c>
      <c r="L99" s="16">
        <v>0.8</v>
      </c>
    </row>
    <row r="100" spans="1:12">
      <c r="A100" t="s">
        <v>103</v>
      </c>
      <c r="B100" s="3">
        <v>46131</v>
      </c>
      <c r="C100" t="s">
        <v>91</v>
      </c>
      <c r="D100" t="s">
        <v>17</v>
      </c>
      <c r="E100">
        <v>2</v>
      </c>
      <c r="F100">
        <v>1</v>
      </c>
      <c r="G100" t="s">
        <v>27</v>
      </c>
      <c r="H100" t="s">
        <v>18</v>
      </c>
      <c r="I100">
        <v>3399</v>
      </c>
      <c r="J100">
        <v>1410</v>
      </c>
      <c r="K100" s="16">
        <v>1.74</v>
      </c>
      <c r="L100" s="16">
        <v>0.8</v>
      </c>
    </row>
    <row r="101" spans="1:12">
      <c r="A101" t="s">
        <v>104</v>
      </c>
      <c r="B101" s="3">
        <v>46137</v>
      </c>
      <c r="C101" t="s">
        <v>90</v>
      </c>
      <c r="D101" t="s">
        <v>27</v>
      </c>
      <c r="E101">
        <v>2</v>
      </c>
      <c r="F101">
        <v>1</v>
      </c>
      <c r="G101" t="s">
        <v>30</v>
      </c>
      <c r="H101" t="s">
        <v>28</v>
      </c>
      <c r="I101">
        <v>1410</v>
      </c>
      <c r="J101">
        <v>2750</v>
      </c>
      <c r="K101" s="16">
        <v>1.54</v>
      </c>
      <c r="L101" s="16">
        <v>0.8</v>
      </c>
    </row>
    <row r="102" spans="1:12">
      <c r="A102" t="s">
        <v>104</v>
      </c>
      <c r="B102" s="3">
        <v>46137</v>
      </c>
      <c r="C102" t="s">
        <v>90</v>
      </c>
      <c r="D102" t="s">
        <v>19</v>
      </c>
      <c r="E102">
        <v>1</v>
      </c>
      <c r="F102">
        <v>0</v>
      </c>
      <c r="G102" t="s">
        <v>42</v>
      </c>
      <c r="H102" t="s">
        <v>20</v>
      </c>
      <c r="I102">
        <v>2637</v>
      </c>
      <c r="J102">
        <v>150</v>
      </c>
      <c r="K102" s="16">
        <v>1.1599999999999999</v>
      </c>
      <c r="L102" s="16">
        <v>0.3</v>
      </c>
    </row>
    <row r="103" spans="1:12">
      <c r="A103" t="s">
        <v>104</v>
      </c>
      <c r="B103" s="3">
        <v>46137</v>
      </c>
      <c r="C103" t="s">
        <v>90</v>
      </c>
      <c r="D103" t="s">
        <v>39</v>
      </c>
      <c r="E103">
        <v>1</v>
      </c>
      <c r="F103">
        <v>1</v>
      </c>
      <c r="G103" t="s">
        <v>32</v>
      </c>
      <c r="H103" t="s">
        <v>40</v>
      </c>
      <c r="I103">
        <v>5</v>
      </c>
      <c r="J103">
        <v>209</v>
      </c>
      <c r="K103" s="16">
        <v>0.9</v>
      </c>
      <c r="L103" s="16">
        <v>0.8</v>
      </c>
    </row>
    <row r="104" spans="1:12">
      <c r="A104" t="s">
        <v>104</v>
      </c>
      <c r="B104" s="3">
        <v>46138</v>
      </c>
      <c r="C104" t="s">
        <v>91</v>
      </c>
      <c r="D104" t="s">
        <v>44</v>
      </c>
      <c r="E104">
        <v>2</v>
      </c>
      <c r="F104">
        <v>2</v>
      </c>
      <c r="G104" t="s">
        <v>17</v>
      </c>
      <c r="H104" t="s">
        <v>31</v>
      </c>
      <c r="I104">
        <v>2750</v>
      </c>
      <c r="J104">
        <v>3399</v>
      </c>
      <c r="K104" s="16">
        <v>1.67</v>
      </c>
      <c r="L104" s="16">
        <v>1.3</v>
      </c>
    </row>
    <row r="105" spans="1:12">
      <c r="A105" t="s">
        <v>104</v>
      </c>
      <c r="B105" s="3">
        <v>46138</v>
      </c>
      <c r="C105" t="s">
        <v>91</v>
      </c>
      <c r="D105" t="s">
        <v>23</v>
      </c>
      <c r="E105">
        <v>2</v>
      </c>
      <c r="F105">
        <v>1</v>
      </c>
      <c r="G105" t="s">
        <v>24</v>
      </c>
      <c r="H105" t="s">
        <v>18</v>
      </c>
      <c r="I105">
        <v>3399</v>
      </c>
      <c r="J105">
        <v>3259</v>
      </c>
      <c r="K105" s="16">
        <v>1.74</v>
      </c>
      <c r="L105" s="16">
        <v>0.8</v>
      </c>
    </row>
    <row r="106" spans="1:12">
      <c r="A106" t="s">
        <v>104</v>
      </c>
      <c r="B106" s="3">
        <v>46138</v>
      </c>
      <c r="C106" t="s">
        <v>91</v>
      </c>
      <c r="D106" t="s">
        <v>15</v>
      </c>
      <c r="E106">
        <v>0</v>
      </c>
      <c r="F106">
        <v>1</v>
      </c>
      <c r="G106" t="s">
        <v>12</v>
      </c>
      <c r="H106" t="s">
        <v>16</v>
      </c>
      <c r="I106">
        <v>29</v>
      </c>
      <c r="J106">
        <v>150</v>
      </c>
      <c r="K106" s="16">
        <v>0.4</v>
      </c>
      <c r="L106" s="16">
        <v>0.8</v>
      </c>
    </row>
    <row r="107" spans="1:12">
      <c r="A107" t="s">
        <v>104</v>
      </c>
      <c r="B107" s="3">
        <v>46138</v>
      </c>
      <c r="C107" t="s">
        <v>91</v>
      </c>
      <c r="D107" t="s">
        <v>43</v>
      </c>
      <c r="E107">
        <v>1</v>
      </c>
      <c r="F107">
        <v>2</v>
      </c>
      <c r="G107" t="s">
        <v>9</v>
      </c>
      <c r="H107" t="s">
        <v>13</v>
      </c>
      <c r="I107">
        <v>150</v>
      </c>
      <c r="J107">
        <v>60</v>
      </c>
      <c r="K107" s="16">
        <v>0.92</v>
      </c>
      <c r="L107" s="16">
        <v>1.3</v>
      </c>
    </row>
    <row r="108" spans="1:12">
      <c r="A108" t="s">
        <v>104</v>
      </c>
      <c r="B108" s="3">
        <v>46139</v>
      </c>
      <c r="C108" t="s">
        <v>146</v>
      </c>
      <c r="D108" t="s">
        <v>5</v>
      </c>
      <c r="E108">
        <v>4</v>
      </c>
      <c r="F108">
        <v>0</v>
      </c>
      <c r="G108" t="s">
        <v>35</v>
      </c>
      <c r="H108" t="s">
        <v>6</v>
      </c>
      <c r="I108">
        <v>3050</v>
      </c>
      <c r="J108">
        <v>2926</v>
      </c>
      <c r="K108" s="16">
        <v>2.71</v>
      </c>
      <c r="L108" s="16">
        <v>0.3</v>
      </c>
    </row>
    <row r="109" spans="1:12">
      <c r="A109" t="s">
        <v>104</v>
      </c>
      <c r="B109" s="3">
        <v>46139</v>
      </c>
      <c r="C109" t="s">
        <v>146</v>
      </c>
      <c r="D109" t="s">
        <v>26</v>
      </c>
      <c r="E109">
        <v>1</v>
      </c>
      <c r="F109">
        <v>0</v>
      </c>
      <c r="G109" t="s">
        <v>37</v>
      </c>
      <c r="H109" t="s">
        <v>18</v>
      </c>
      <c r="I109">
        <v>3399</v>
      </c>
      <c r="J109">
        <v>2335</v>
      </c>
      <c r="K109" s="16">
        <v>1.24</v>
      </c>
      <c r="L109" s="16">
        <v>0.3</v>
      </c>
    </row>
    <row r="110" spans="1:12">
      <c r="A110" t="s">
        <v>105</v>
      </c>
      <c r="B110" s="3">
        <v>46144</v>
      </c>
      <c r="C110" t="s">
        <v>90</v>
      </c>
      <c r="D110" t="s">
        <v>30</v>
      </c>
      <c r="E110">
        <v>3</v>
      </c>
      <c r="F110">
        <v>2</v>
      </c>
      <c r="G110" t="s">
        <v>39</v>
      </c>
      <c r="H110" t="s">
        <v>31</v>
      </c>
      <c r="I110">
        <v>2750</v>
      </c>
      <c r="J110">
        <v>5</v>
      </c>
      <c r="K110" s="16">
        <v>2.17</v>
      </c>
      <c r="L110" s="16">
        <v>1.3</v>
      </c>
    </row>
    <row r="111" spans="1:12">
      <c r="A111" t="s">
        <v>105</v>
      </c>
      <c r="B111" s="3">
        <v>46144</v>
      </c>
      <c r="C111" t="s">
        <v>90</v>
      </c>
      <c r="D111" t="s">
        <v>5</v>
      </c>
      <c r="E111">
        <v>1</v>
      </c>
      <c r="F111">
        <v>0</v>
      </c>
      <c r="G111" t="s">
        <v>15</v>
      </c>
      <c r="H111" t="s">
        <v>6</v>
      </c>
      <c r="I111">
        <v>3050</v>
      </c>
      <c r="J111">
        <v>29</v>
      </c>
      <c r="K111" s="16">
        <v>1.21</v>
      </c>
      <c r="L111" s="16">
        <v>0.3</v>
      </c>
    </row>
    <row r="112" spans="1:12">
      <c r="A112" t="s">
        <v>105</v>
      </c>
      <c r="B112" s="3">
        <v>46144</v>
      </c>
      <c r="C112" t="s">
        <v>90</v>
      </c>
      <c r="D112" t="s">
        <v>17</v>
      </c>
      <c r="E112">
        <v>1</v>
      </c>
      <c r="F112">
        <v>0</v>
      </c>
      <c r="G112" t="s">
        <v>19</v>
      </c>
      <c r="H112" t="s">
        <v>18</v>
      </c>
      <c r="I112">
        <v>3399</v>
      </c>
      <c r="J112">
        <v>2637</v>
      </c>
      <c r="K112" s="16">
        <v>1.24</v>
      </c>
      <c r="L112" s="16">
        <v>0.3</v>
      </c>
    </row>
    <row r="113" spans="1:12">
      <c r="A113" t="s">
        <v>105</v>
      </c>
      <c r="B113" s="3">
        <v>46144</v>
      </c>
      <c r="C113" t="s">
        <v>90</v>
      </c>
      <c r="D113" t="s">
        <v>12</v>
      </c>
      <c r="E113">
        <v>2</v>
      </c>
      <c r="F113">
        <v>1</v>
      </c>
      <c r="G113" t="s">
        <v>27</v>
      </c>
      <c r="H113" t="s">
        <v>13</v>
      </c>
      <c r="I113">
        <v>150</v>
      </c>
      <c r="J113">
        <v>1410</v>
      </c>
      <c r="K113" s="16">
        <v>1.41</v>
      </c>
      <c r="L113" s="16">
        <v>0.8</v>
      </c>
    </row>
    <row r="114" spans="1:12">
      <c r="A114" t="s">
        <v>105</v>
      </c>
      <c r="B114" s="3">
        <v>46145</v>
      </c>
      <c r="C114" t="s">
        <v>91</v>
      </c>
      <c r="D114" t="s">
        <v>42</v>
      </c>
      <c r="E114">
        <v>2</v>
      </c>
      <c r="F114">
        <v>2</v>
      </c>
      <c r="G114" t="s">
        <v>23</v>
      </c>
      <c r="H114" t="s">
        <v>13</v>
      </c>
      <c r="I114">
        <v>150</v>
      </c>
      <c r="J114">
        <v>3399</v>
      </c>
      <c r="K114" s="16">
        <v>1.41</v>
      </c>
      <c r="L114" s="16">
        <v>1.3</v>
      </c>
    </row>
    <row r="115" spans="1:12">
      <c r="A115" t="s">
        <v>105</v>
      </c>
      <c r="B115" s="3">
        <v>46145</v>
      </c>
      <c r="C115" t="s">
        <v>91</v>
      </c>
      <c r="D115" t="s">
        <v>32</v>
      </c>
      <c r="E115">
        <v>1</v>
      </c>
      <c r="F115">
        <v>4</v>
      </c>
      <c r="G115" t="s">
        <v>43</v>
      </c>
      <c r="H115" t="s">
        <v>33</v>
      </c>
      <c r="I115">
        <v>209</v>
      </c>
      <c r="J115">
        <v>150</v>
      </c>
      <c r="K115" s="16">
        <v>0.92</v>
      </c>
      <c r="L115" s="16">
        <v>2.2999999999999998</v>
      </c>
    </row>
    <row r="116" spans="1:12">
      <c r="A116" t="s">
        <v>105</v>
      </c>
      <c r="B116" s="3">
        <v>46145</v>
      </c>
      <c r="C116" t="s">
        <v>91</v>
      </c>
      <c r="D116" t="s">
        <v>9</v>
      </c>
      <c r="E116">
        <v>4</v>
      </c>
      <c r="F116">
        <v>1</v>
      </c>
      <c r="G116" t="s">
        <v>24</v>
      </c>
      <c r="H116" t="s">
        <v>10</v>
      </c>
      <c r="I116">
        <v>60</v>
      </c>
      <c r="J116">
        <v>3259</v>
      </c>
      <c r="K116" s="16">
        <v>2.41</v>
      </c>
      <c r="L116" s="16">
        <v>0.8</v>
      </c>
    </row>
    <row r="117" spans="1:12">
      <c r="A117" t="s">
        <v>105</v>
      </c>
      <c r="B117" s="3">
        <v>46145</v>
      </c>
      <c r="C117" t="s">
        <v>91</v>
      </c>
      <c r="D117" t="s">
        <v>37</v>
      </c>
      <c r="E117">
        <v>2</v>
      </c>
      <c r="F117">
        <v>0</v>
      </c>
      <c r="G117" t="s">
        <v>44</v>
      </c>
      <c r="H117" t="s">
        <v>38</v>
      </c>
      <c r="I117">
        <v>2335</v>
      </c>
      <c r="J117">
        <v>2750</v>
      </c>
      <c r="K117" s="16">
        <v>1.63</v>
      </c>
      <c r="L117" s="16">
        <v>0.3</v>
      </c>
    </row>
    <row r="118" spans="1:12">
      <c r="A118" t="s">
        <v>105</v>
      </c>
      <c r="B118" s="3">
        <v>46146</v>
      </c>
      <c r="C118" t="s">
        <v>146</v>
      </c>
      <c r="D118" t="s">
        <v>35</v>
      </c>
      <c r="E118">
        <v>0</v>
      </c>
      <c r="F118">
        <v>1</v>
      </c>
      <c r="G118" t="s">
        <v>26</v>
      </c>
      <c r="H118" t="s">
        <v>36</v>
      </c>
      <c r="I118">
        <v>2926</v>
      </c>
      <c r="J118">
        <v>3399</v>
      </c>
      <c r="K118" s="16">
        <v>0.69</v>
      </c>
      <c r="L118" s="16">
        <v>0.8</v>
      </c>
    </row>
    <row r="119" spans="1:12">
      <c r="A119" t="s">
        <v>106</v>
      </c>
      <c r="B119" s="3">
        <v>46150</v>
      </c>
      <c r="C119" t="s">
        <v>89</v>
      </c>
      <c r="D119" t="s">
        <v>44</v>
      </c>
      <c r="E119">
        <v>1</v>
      </c>
      <c r="F119">
        <v>2</v>
      </c>
      <c r="G119" t="s">
        <v>30</v>
      </c>
      <c r="H119" t="s">
        <v>31</v>
      </c>
      <c r="I119">
        <v>2750</v>
      </c>
      <c r="J119">
        <v>2750</v>
      </c>
      <c r="K119" s="16">
        <v>1.18</v>
      </c>
      <c r="L119" s="16">
        <v>1.3</v>
      </c>
    </row>
    <row r="120" spans="1:12">
      <c r="A120" t="s">
        <v>106</v>
      </c>
      <c r="B120" s="3">
        <v>46151</v>
      </c>
      <c r="C120" t="s">
        <v>90</v>
      </c>
      <c r="D120" t="s">
        <v>27</v>
      </c>
      <c r="E120">
        <v>2</v>
      </c>
      <c r="F120">
        <v>2</v>
      </c>
      <c r="G120" t="s">
        <v>5</v>
      </c>
      <c r="H120" t="s">
        <v>28</v>
      </c>
      <c r="I120">
        <v>1410</v>
      </c>
      <c r="J120">
        <v>3050</v>
      </c>
      <c r="K120" s="16">
        <v>1.54</v>
      </c>
      <c r="L120" s="16">
        <v>1.3</v>
      </c>
    </row>
    <row r="121" spans="1:12">
      <c r="A121" t="s">
        <v>106</v>
      </c>
      <c r="B121" s="3">
        <v>46151</v>
      </c>
      <c r="C121" t="s">
        <v>90</v>
      </c>
      <c r="D121" t="s">
        <v>15</v>
      </c>
      <c r="E121">
        <v>1</v>
      </c>
      <c r="F121">
        <v>2</v>
      </c>
      <c r="G121" t="s">
        <v>17</v>
      </c>
      <c r="H121" t="s">
        <v>16</v>
      </c>
      <c r="I121">
        <v>29</v>
      </c>
      <c r="J121">
        <v>3399</v>
      </c>
      <c r="K121" s="16">
        <v>0.9</v>
      </c>
      <c r="L121" s="16">
        <v>1.3</v>
      </c>
    </row>
    <row r="122" spans="1:12">
      <c r="A122" t="s">
        <v>106</v>
      </c>
      <c r="B122" s="3">
        <v>46151</v>
      </c>
      <c r="C122" t="s">
        <v>90</v>
      </c>
      <c r="D122" t="s">
        <v>12</v>
      </c>
      <c r="E122">
        <v>1</v>
      </c>
      <c r="F122">
        <v>1</v>
      </c>
      <c r="G122" t="s">
        <v>42</v>
      </c>
      <c r="H122" t="s">
        <v>13</v>
      </c>
      <c r="I122">
        <v>150</v>
      </c>
      <c r="J122">
        <v>150</v>
      </c>
      <c r="K122" s="16">
        <v>0.92</v>
      </c>
      <c r="L122" s="16">
        <v>0.8</v>
      </c>
    </row>
    <row r="123" spans="1:12">
      <c r="A123" t="s">
        <v>106</v>
      </c>
      <c r="B123" s="3">
        <v>46152</v>
      </c>
      <c r="C123" t="s">
        <v>91</v>
      </c>
      <c r="D123" t="s">
        <v>24</v>
      </c>
      <c r="E123">
        <v>2</v>
      </c>
      <c r="F123">
        <v>1</v>
      </c>
      <c r="G123" t="s">
        <v>32</v>
      </c>
      <c r="H123" t="s">
        <v>25</v>
      </c>
      <c r="I123">
        <v>3259</v>
      </c>
      <c r="J123">
        <v>209</v>
      </c>
      <c r="K123" s="16">
        <v>1.73</v>
      </c>
      <c r="L123" s="16">
        <v>0.8</v>
      </c>
    </row>
    <row r="124" spans="1:12">
      <c r="A124" t="s">
        <v>106</v>
      </c>
      <c r="B124" s="3">
        <v>46152</v>
      </c>
      <c r="C124" t="s">
        <v>91</v>
      </c>
      <c r="D124" t="s">
        <v>19</v>
      </c>
      <c r="E124">
        <v>1</v>
      </c>
      <c r="F124">
        <v>1</v>
      </c>
      <c r="G124" t="s">
        <v>37</v>
      </c>
      <c r="H124" t="s">
        <v>20</v>
      </c>
      <c r="I124">
        <v>2637</v>
      </c>
      <c r="J124">
        <v>2335</v>
      </c>
      <c r="K124" s="16">
        <v>1.1599999999999999</v>
      </c>
      <c r="L124" s="16">
        <v>0.8</v>
      </c>
    </row>
    <row r="125" spans="1:12">
      <c r="A125" t="s">
        <v>106</v>
      </c>
      <c r="B125" s="3">
        <v>46152</v>
      </c>
      <c r="C125" t="s">
        <v>91</v>
      </c>
      <c r="D125" t="s">
        <v>23</v>
      </c>
      <c r="E125">
        <v>1</v>
      </c>
      <c r="F125">
        <v>1</v>
      </c>
      <c r="G125" t="s">
        <v>35</v>
      </c>
      <c r="H125" t="s">
        <v>18</v>
      </c>
      <c r="I125">
        <v>3399</v>
      </c>
      <c r="J125">
        <v>2926</v>
      </c>
      <c r="K125" s="16">
        <v>1.24</v>
      </c>
      <c r="L125" s="16">
        <v>0.8</v>
      </c>
    </row>
    <row r="126" spans="1:12">
      <c r="A126" t="s">
        <v>106</v>
      </c>
      <c r="B126" s="3">
        <v>46153</v>
      </c>
      <c r="C126" t="s">
        <v>146</v>
      </c>
      <c r="D126" t="s">
        <v>26</v>
      </c>
      <c r="E126">
        <v>2</v>
      </c>
      <c r="F126">
        <v>1</v>
      </c>
      <c r="G126" t="s">
        <v>9</v>
      </c>
      <c r="H126" t="s">
        <v>18</v>
      </c>
      <c r="I126">
        <v>3399</v>
      </c>
      <c r="J126">
        <v>60</v>
      </c>
      <c r="K126" s="16">
        <v>1.74</v>
      </c>
      <c r="L126" s="16">
        <v>0.8</v>
      </c>
    </row>
    <row r="127" spans="1:12">
      <c r="A127" t="s">
        <v>106</v>
      </c>
      <c r="B127" s="3">
        <v>46153</v>
      </c>
      <c r="C127" t="s">
        <v>146</v>
      </c>
      <c r="D127" t="s">
        <v>39</v>
      </c>
      <c r="E127">
        <v>0</v>
      </c>
      <c r="F127">
        <v>0</v>
      </c>
      <c r="G127" t="s">
        <v>43</v>
      </c>
      <c r="H127" t="s">
        <v>40</v>
      </c>
      <c r="I127">
        <v>5</v>
      </c>
      <c r="J127">
        <v>150</v>
      </c>
      <c r="K127" s="16">
        <v>0.4</v>
      </c>
      <c r="L127" s="16">
        <v>0.3</v>
      </c>
    </row>
    <row r="128" spans="1:12">
      <c r="A128" t="s">
        <v>107</v>
      </c>
      <c r="B128" s="3">
        <v>46157</v>
      </c>
      <c r="C128" t="s">
        <v>89</v>
      </c>
      <c r="D128" t="s">
        <v>30</v>
      </c>
      <c r="E128">
        <v>3</v>
      </c>
      <c r="F128">
        <v>1</v>
      </c>
      <c r="G128" t="s">
        <v>42</v>
      </c>
      <c r="H128" t="s">
        <v>31</v>
      </c>
      <c r="I128">
        <v>2750</v>
      </c>
      <c r="J128">
        <v>150</v>
      </c>
      <c r="K128" s="16">
        <v>2.17</v>
      </c>
      <c r="L128" s="16">
        <v>0.8</v>
      </c>
    </row>
    <row r="129" spans="1:12">
      <c r="A129" t="s">
        <v>107</v>
      </c>
      <c r="B129" s="3">
        <v>46157</v>
      </c>
      <c r="C129" t="s">
        <v>89</v>
      </c>
      <c r="D129" t="s">
        <v>43</v>
      </c>
      <c r="E129">
        <v>0</v>
      </c>
      <c r="F129">
        <v>1</v>
      </c>
      <c r="G129" t="s">
        <v>15</v>
      </c>
      <c r="H129" t="s">
        <v>13</v>
      </c>
      <c r="I129">
        <v>150</v>
      </c>
      <c r="J129">
        <v>29</v>
      </c>
      <c r="K129" s="16">
        <v>0.42</v>
      </c>
      <c r="L129" s="16">
        <v>0.8</v>
      </c>
    </row>
    <row r="130" spans="1:12">
      <c r="A130" t="s">
        <v>107</v>
      </c>
      <c r="B130" s="3">
        <v>46158</v>
      </c>
      <c r="C130" t="s">
        <v>90</v>
      </c>
      <c r="D130" t="s">
        <v>37</v>
      </c>
      <c r="E130">
        <v>4</v>
      </c>
      <c r="F130">
        <v>1</v>
      </c>
      <c r="G130" t="s">
        <v>24</v>
      </c>
      <c r="H130" t="s">
        <v>38</v>
      </c>
      <c r="I130">
        <v>2335</v>
      </c>
      <c r="J130">
        <v>3259</v>
      </c>
      <c r="K130" s="16">
        <v>2.63</v>
      </c>
      <c r="L130" s="16">
        <v>0.8</v>
      </c>
    </row>
    <row r="131" spans="1:12">
      <c r="A131" t="s">
        <v>107</v>
      </c>
      <c r="B131" s="3">
        <v>46158</v>
      </c>
      <c r="C131" t="s">
        <v>90</v>
      </c>
      <c r="D131" t="s">
        <v>32</v>
      </c>
      <c r="E131">
        <v>0</v>
      </c>
      <c r="F131">
        <v>2</v>
      </c>
      <c r="G131" t="s">
        <v>9</v>
      </c>
      <c r="H131" t="s">
        <v>33</v>
      </c>
      <c r="I131">
        <v>209</v>
      </c>
      <c r="J131">
        <v>60</v>
      </c>
      <c r="K131" s="16">
        <v>0.42</v>
      </c>
      <c r="L131" s="16">
        <v>1.3</v>
      </c>
    </row>
    <row r="132" spans="1:12">
      <c r="A132" t="s">
        <v>107</v>
      </c>
      <c r="B132" s="3">
        <v>46158</v>
      </c>
      <c r="C132" t="s">
        <v>90</v>
      </c>
      <c r="D132" t="s">
        <v>17</v>
      </c>
      <c r="E132">
        <v>0</v>
      </c>
      <c r="F132">
        <v>1</v>
      </c>
      <c r="G132" t="s">
        <v>12</v>
      </c>
      <c r="H132" t="s">
        <v>18</v>
      </c>
      <c r="I132">
        <v>3399</v>
      </c>
      <c r="J132">
        <v>150</v>
      </c>
      <c r="K132" s="16">
        <v>0.74</v>
      </c>
      <c r="L132" s="16">
        <v>0.8</v>
      </c>
    </row>
    <row r="133" spans="1:12">
      <c r="A133" t="s">
        <v>107</v>
      </c>
      <c r="B133" s="3">
        <v>46158</v>
      </c>
      <c r="C133" t="s">
        <v>90</v>
      </c>
      <c r="D133" t="s">
        <v>39</v>
      </c>
      <c r="E133">
        <v>1</v>
      </c>
      <c r="F133">
        <v>0</v>
      </c>
      <c r="G133" t="s">
        <v>23</v>
      </c>
      <c r="H133" t="s">
        <v>40</v>
      </c>
      <c r="I133">
        <v>5</v>
      </c>
      <c r="J133">
        <v>3399</v>
      </c>
      <c r="K133" s="16">
        <v>0.9</v>
      </c>
      <c r="L133" s="16">
        <v>0.3</v>
      </c>
    </row>
    <row r="134" spans="1:12">
      <c r="A134" t="s">
        <v>107</v>
      </c>
      <c r="B134" s="3">
        <v>46159</v>
      </c>
      <c r="C134" t="s">
        <v>91</v>
      </c>
      <c r="D134" t="s">
        <v>5</v>
      </c>
      <c r="E134">
        <v>2</v>
      </c>
      <c r="F134">
        <v>0</v>
      </c>
      <c r="G134" t="s">
        <v>19</v>
      </c>
      <c r="H134" t="s">
        <v>6</v>
      </c>
      <c r="I134">
        <v>3050</v>
      </c>
      <c r="J134">
        <v>2637</v>
      </c>
      <c r="K134" s="16">
        <v>1.7</v>
      </c>
      <c r="L134" s="16">
        <v>0.3</v>
      </c>
    </row>
    <row r="135" spans="1:12">
      <c r="A135" t="s">
        <v>107</v>
      </c>
      <c r="B135" s="3">
        <v>46159</v>
      </c>
      <c r="C135" t="s">
        <v>91</v>
      </c>
      <c r="D135" t="s">
        <v>26</v>
      </c>
      <c r="E135">
        <v>2</v>
      </c>
      <c r="F135">
        <v>0</v>
      </c>
      <c r="G135" t="s">
        <v>44</v>
      </c>
      <c r="H135" t="s">
        <v>18</v>
      </c>
      <c r="I135">
        <v>3399</v>
      </c>
      <c r="J135">
        <v>2750</v>
      </c>
      <c r="K135" s="16">
        <v>1.74</v>
      </c>
      <c r="L135" s="16">
        <v>0.3</v>
      </c>
    </row>
    <row r="136" spans="1:12">
      <c r="A136" t="s">
        <v>107</v>
      </c>
      <c r="B136" s="3">
        <v>46159</v>
      </c>
      <c r="C136" t="s">
        <v>91</v>
      </c>
      <c r="D136" t="s">
        <v>35</v>
      </c>
      <c r="E136">
        <v>1</v>
      </c>
      <c r="F136">
        <v>0</v>
      </c>
      <c r="G136" t="s">
        <v>27</v>
      </c>
      <c r="H136" t="s">
        <v>36</v>
      </c>
      <c r="I136">
        <v>2926</v>
      </c>
      <c r="J136">
        <v>1410</v>
      </c>
      <c r="K136" s="16">
        <v>1.19</v>
      </c>
      <c r="L136" s="16">
        <v>0.3</v>
      </c>
    </row>
    <row r="137" spans="1:12">
      <c r="A137" t="s">
        <v>108</v>
      </c>
      <c r="B137" s="3">
        <v>46164</v>
      </c>
      <c r="C137" t="s">
        <v>89</v>
      </c>
      <c r="D137" t="s">
        <v>32</v>
      </c>
      <c r="E137">
        <v>1</v>
      </c>
      <c r="F137">
        <v>1</v>
      </c>
      <c r="G137" t="s">
        <v>37</v>
      </c>
      <c r="H137" t="s">
        <v>33</v>
      </c>
      <c r="I137">
        <v>209</v>
      </c>
      <c r="J137">
        <v>2335</v>
      </c>
      <c r="K137" s="16">
        <v>0.92</v>
      </c>
      <c r="L137" s="16">
        <v>0.8</v>
      </c>
    </row>
    <row r="138" spans="1:12">
      <c r="A138" t="s">
        <v>108</v>
      </c>
      <c r="B138" s="3">
        <v>46165</v>
      </c>
      <c r="C138" t="s">
        <v>90</v>
      </c>
      <c r="D138" t="s">
        <v>27</v>
      </c>
      <c r="E138">
        <v>0</v>
      </c>
      <c r="F138">
        <v>0</v>
      </c>
      <c r="G138" t="s">
        <v>43</v>
      </c>
      <c r="H138" t="s">
        <v>28</v>
      </c>
      <c r="I138">
        <v>1410</v>
      </c>
      <c r="J138">
        <v>150</v>
      </c>
      <c r="K138" s="16">
        <v>0.54</v>
      </c>
      <c r="L138" s="16">
        <v>0.3</v>
      </c>
    </row>
    <row r="139" spans="1:12">
      <c r="A139" t="s">
        <v>108</v>
      </c>
      <c r="B139" s="3">
        <v>46165</v>
      </c>
      <c r="C139" t="s">
        <v>90</v>
      </c>
      <c r="D139" t="s">
        <v>44</v>
      </c>
      <c r="E139">
        <v>0</v>
      </c>
      <c r="F139">
        <v>0</v>
      </c>
      <c r="G139" t="s">
        <v>39</v>
      </c>
      <c r="H139" t="s">
        <v>31</v>
      </c>
      <c r="I139">
        <v>2750</v>
      </c>
      <c r="J139">
        <v>5</v>
      </c>
      <c r="K139" s="16">
        <v>0.68</v>
      </c>
      <c r="L139" s="16">
        <v>0.3</v>
      </c>
    </row>
    <row r="140" spans="1:12">
      <c r="A140" t="s">
        <v>108</v>
      </c>
      <c r="B140" s="3">
        <v>46165</v>
      </c>
      <c r="C140" t="s">
        <v>90</v>
      </c>
      <c r="D140" t="s">
        <v>23</v>
      </c>
      <c r="E140">
        <v>1</v>
      </c>
      <c r="F140">
        <v>0</v>
      </c>
      <c r="G140" t="s">
        <v>15</v>
      </c>
      <c r="H140" t="s">
        <v>18</v>
      </c>
      <c r="I140">
        <v>3399</v>
      </c>
      <c r="J140">
        <v>29</v>
      </c>
      <c r="K140" s="16">
        <v>1.24</v>
      </c>
      <c r="L140" s="16">
        <v>0.3</v>
      </c>
    </row>
    <row r="141" spans="1:12">
      <c r="A141" t="s">
        <v>108</v>
      </c>
      <c r="B141" s="3">
        <v>46165</v>
      </c>
      <c r="C141" t="s">
        <v>90</v>
      </c>
      <c r="D141" t="s">
        <v>12</v>
      </c>
      <c r="E141">
        <v>3</v>
      </c>
      <c r="F141">
        <v>0</v>
      </c>
      <c r="G141" t="s">
        <v>35</v>
      </c>
      <c r="H141" t="s">
        <v>13</v>
      </c>
      <c r="I141">
        <v>150</v>
      </c>
      <c r="J141">
        <v>2926</v>
      </c>
      <c r="K141" s="16">
        <v>1.91</v>
      </c>
      <c r="L141" s="16">
        <v>0.3</v>
      </c>
    </row>
    <row r="142" spans="1:12">
      <c r="A142" t="s">
        <v>108</v>
      </c>
      <c r="B142" s="3">
        <v>46166</v>
      </c>
      <c r="C142" t="s">
        <v>91</v>
      </c>
      <c r="D142" t="s">
        <v>42</v>
      </c>
      <c r="E142">
        <v>2</v>
      </c>
      <c r="F142">
        <v>1</v>
      </c>
      <c r="G142" t="s">
        <v>5</v>
      </c>
      <c r="H142" t="s">
        <v>13</v>
      </c>
      <c r="I142">
        <v>150</v>
      </c>
      <c r="J142">
        <v>3050</v>
      </c>
      <c r="K142" s="16">
        <v>1.41</v>
      </c>
      <c r="L142" s="16">
        <v>0.8</v>
      </c>
    </row>
    <row r="143" spans="1:12">
      <c r="A143" t="s">
        <v>108</v>
      </c>
      <c r="B143" s="3">
        <v>46166</v>
      </c>
      <c r="C143" t="s">
        <v>91</v>
      </c>
      <c r="D143" t="s">
        <v>24</v>
      </c>
      <c r="E143">
        <v>2</v>
      </c>
      <c r="F143">
        <v>2</v>
      </c>
      <c r="G143" t="s">
        <v>17</v>
      </c>
      <c r="H143" t="s">
        <v>25</v>
      </c>
      <c r="I143">
        <v>3259</v>
      </c>
      <c r="J143">
        <v>3399</v>
      </c>
      <c r="K143" s="16">
        <v>1.73</v>
      </c>
      <c r="L143" s="16">
        <v>1.3</v>
      </c>
    </row>
    <row r="144" spans="1:12">
      <c r="A144" t="s">
        <v>108</v>
      </c>
      <c r="B144" s="3">
        <v>46166</v>
      </c>
      <c r="C144" t="s">
        <v>91</v>
      </c>
      <c r="D144" t="s">
        <v>9</v>
      </c>
      <c r="E144">
        <v>1</v>
      </c>
      <c r="F144">
        <v>1</v>
      </c>
      <c r="G144" t="s">
        <v>30</v>
      </c>
      <c r="H144" t="s">
        <v>10</v>
      </c>
      <c r="I144">
        <v>60</v>
      </c>
      <c r="J144">
        <v>2750</v>
      </c>
      <c r="K144" s="16">
        <v>0.91</v>
      </c>
      <c r="L144" s="16">
        <v>0.8</v>
      </c>
    </row>
    <row r="145" spans="1:12">
      <c r="A145" t="s">
        <v>108</v>
      </c>
      <c r="B145" s="3">
        <v>46167</v>
      </c>
      <c r="C145" t="s">
        <v>146</v>
      </c>
      <c r="D145" t="s">
        <v>19</v>
      </c>
      <c r="E145">
        <v>0</v>
      </c>
      <c r="F145">
        <v>0</v>
      </c>
      <c r="G145" t="s">
        <v>26</v>
      </c>
      <c r="H145" t="s">
        <v>20</v>
      </c>
      <c r="I145">
        <v>2637</v>
      </c>
      <c r="J145">
        <v>3399</v>
      </c>
      <c r="K145" s="16">
        <v>0.66</v>
      </c>
      <c r="L145" s="16">
        <v>0.3</v>
      </c>
    </row>
    <row r="146" spans="1:12">
      <c r="A146" t="s">
        <v>109</v>
      </c>
      <c r="B146" s="3">
        <v>46171</v>
      </c>
      <c r="C146" t="s">
        <v>89</v>
      </c>
      <c r="D146" t="s">
        <v>15</v>
      </c>
      <c r="E146">
        <v>1</v>
      </c>
      <c r="F146">
        <v>0</v>
      </c>
      <c r="G146" t="s">
        <v>27</v>
      </c>
      <c r="H146" t="s">
        <v>16</v>
      </c>
      <c r="I146">
        <v>29</v>
      </c>
      <c r="J146">
        <v>1410</v>
      </c>
      <c r="K146" s="16">
        <v>0.9</v>
      </c>
      <c r="L146" s="16">
        <v>0.3</v>
      </c>
    </row>
    <row r="147" spans="1:12">
      <c r="A147" t="s">
        <v>109</v>
      </c>
      <c r="B147" s="3">
        <v>46172</v>
      </c>
      <c r="C147" t="s">
        <v>90</v>
      </c>
      <c r="D147" t="s">
        <v>5</v>
      </c>
      <c r="E147">
        <v>1</v>
      </c>
      <c r="F147">
        <v>2</v>
      </c>
      <c r="G147" t="s">
        <v>23</v>
      </c>
      <c r="H147" t="s">
        <v>6</v>
      </c>
      <c r="I147">
        <v>3050</v>
      </c>
      <c r="J147">
        <v>3399</v>
      </c>
      <c r="K147" s="16">
        <v>1.21</v>
      </c>
      <c r="L147" s="16">
        <v>1.3</v>
      </c>
    </row>
    <row r="148" spans="1:12">
      <c r="A148" t="s">
        <v>109</v>
      </c>
      <c r="B148" s="3">
        <v>46172</v>
      </c>
      <c r="C148" t="s">
        <v>90</v>
      </c>
      <c r="D148" t="s">
        <v>26</v>
      </c>
      <c r="E148">
        <v>4</v>
      </c>
      <c r="F148">
        <v>1</v>
      </c>
      <c r="G148" t="s">
        <v>32</v>
      </c>
      <c r="H148" t="s">
        <v>18</v>
      </c>
      <c r="I148">
        <v>3399</v>
      </c>
      <c r="J148">
        <v>209</v>
      </c>
      <c r="K148" s="16">
        <v>2.74</v>
      </c>
      <c r="L148" s="16">
        <v>0.8</v>
      </c>
    </row>
    <row r="149" spans="1:12">
      <c r="A149" t="s">
        <v>109</v>
      </c>
      <c r="B149" s="3">
        <v>46172</v>
      </c>
      <c r="C149" t="s">
        <v>90</v>
      </c>
      <c r="D149" t="s">
        <v>39</v>
      </c>
      <c r="E149">
        <v>1</v>
      </c>
      <c r="F149">
        <v>0</v>
      </c>
      <c r="G149" t="s">
        <v>19</v>
      </c>
      <c r="H149" t="s">
        <v>40</v>
      </c>
      <c r="I149">
        <v>5</v>
      </c>
      <c r="J149">
        <v>2637</v>
      </c>
      <c r="K149" s="16">
        <v>0.9</v>
      </c>
      <c r="L149" s="16">
        <v>0.3</v>
      </c>
    </row>
    <row r="150" spans="1:12">
      <c r="A150" t="s">
        <v>109</v>
      </c>
      <c r="B150" s="3">
        <v>46172</v>
      </c>
      <c r="C150" t="s">
        <v>90</v>
      </c>
      <c r="D150" t="s">
        <v>43</v>
      </c>
      <c r="E150">
        <v>2</v>
      </c>
      <c r="F150">
        <v>1</v>
      </c>
      <c r="G150" t="s">
        <v>24</v>
      </c>
      <c r="H150" t="s">
        <v>13</v>
      </c>
      <c r="I150">
        <v>150</v>
      </c>
      <c r="J150">
        <v>3259</v>
      </c>
      <c r="K150" s="16">
        <v>1.41</v>
      </c>
      <c r="L150" s="16">
        <v>0.8</v>
      </c>
    </row>
    <row r="151" spans="1:12">
      <c r="A151" t="s">
        <v>109</v>
      </c>
      <c r="B151" s="3">
        <v>46173</v>
      </c>
      <c r="C151" t="s">
        <v>91</v>
      </c>
      <c r="D151" t="s">
        <v>37</v>
      </c>
      <c r="E151">
        <v>3</v>
      </c>
      <c r="F151">
        <v>1</v>
      </c>
      <c r="G151" t="s">
        <v>9</v>
      </c>
      <c r="H151" t="s">
        <v>38</v>
      </c>
      <c r="I151">
        <v>2335</v>
      </c>
      <c r="J151">
        <v>60</v>
      </c>
      <c r="K151" s="16">
        <v>2.13</v>
      </c>
      <c r="L151" s="16">
        <v>0.8</v>
      </c>
    </row>
    <row r="152" spans="1:12">
      <c r="A152" t="s">
        <v>109</v>
      </c>
      <c r="B152" s="3">
        <v>46173</v>
      </c>
      <c r="C152" t="s">
        <v>91</v>
      </c>
      <c r="D152" t="s">
        <v>30</v>
      </c>
      <c r="E152">
        <v>1</v>
      </c>
      <c r="F152">
        <v>1</v>
      </c>
      <c r="G152" t="s">
        <v>12</v>
      </c>
      <c r="H152" t="s">
        <v>31</v>
      </c>
      <c r="I152">
        <v>2750</v>
      </c>
      <c r="J152">
        <v>150</v>
      </c>
      <c r="K152" s="16">
        <v>1.18</v>
      </c>
      <c r="L152" s="16">
        <v>0.8</v>
      </c>
    </row>
    <row r="153" spans="1:12">
      <c r="A153" t="s">
        <v>109</v>
      </c>
      <c r="B153" s="3">
        <v>46173</v>
      </c>
      <c r="C153" t="s">
        <v>91</v>
      </c>
      <c r="D153" t="s">
        <v>35</v>
      </c>
      <c r="E153">
        <v>2</v>
      </c>
      <c r="F153">
        <v>2</v>
      </c>
      <c r="G153" t="s">
        <v>44</v>
      </c>
      <c r="H153" t="s">
        <v>36</v>
      </c>
      <c r="I153">
        <v>2926</v>
      </c>
      <c r="J153">
        <v>2750</v>
      </c>
      <c r="K153" s="16">
        <v>1.69</v>
      </c>
      <c r="L153" s="16">
        <v>1.3</v>
      </c>
    </row>
    <row r="154" spans="1:12">
      <c r="A154" t="s">
        <v>109</v>
      </c>
      <c r="B154" s="3">
        <v>46173</v>
      </c>
      <c r="C154" t="s">
        <v>91</v>
      </c>
      <c r="D154" t="s">
        <v>17</v>
      </c>
      <c r="E154">
        <v>3</v>
      </c>
      <c r="F154">
        <v>2</v>
      </c>
      <c r="G154" t="s">
        <v>42</v>
      </c>
      <c r="H154" t="s">
        <v>18</v>
      </c>
      <c r="I154">
        <v>3399</v>
      </c>
      <c r="J154">
        <v>150</v>
      </c>
      <c r="K154" s="16">
        <v>2.2400000000000002</v>
      </c>
      <c r="L154" s="16">
        <v>1.3</v>
      </c>
    </row>
    <row r="155" spans="1:12">
      <c r="B155" s="3"/>
    </row>
    <row r="156" spans="1:12">
      <c r="B156" s="3"/>
    </row>
    <row r="157" spans="1:12">
      <c r="B157" s="3"/>
    </row>
    <row r="158" spans="1:12">
      <c r="B158" s="3"/>
    </row>
    <row r="159" spans="1:12">
      <c r="B159" s="3"/>
    </row>
    <row r="160" spans="1:1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</sheetData>
  <autoFilter ref="A1:L154" xr:uid="{E8E6473D-C757-484F-9FA5-8661D29BA6C6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P277"/>
  <sheetViews>
    <sheetView workbookViewId="0">
      <pane ySplit="1" topLeftCell="A77" activePane="bottomLeft" state="frozen"/>
      <selection pane="bottomLeft" activeCell="A2" sqref="A2:A100"/>
    </sheetView>
  </sheetViews>
  <sheetFormatPr baseColWidth="10" defaultRowHeight="14.4"/>
  <cols>
    <col min="1" max="1" width="9.33203125" bestFit="1" customWidth="1"/>
    <col min="2" max="2" width="10.5546875" bestFit="1" customWidth="1"/>
    <col min="3" max="3" width="9.33203125" customWidth="1"/>
    <col min="4" max="4" width="19.88671875" bestFit="1" customWidth="1"/>
    <col min="5" max="5" width="11.5546875" bestFit="1" customWidth="1"/>
    <col min="6" max="6" width="12.109375" bestFit="1" customWidth="1"/>
    <col min="7" max="7" width="19.8867187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4.109375" bestFit="1" customWidth="1"/>
    <col min="12" max="12" width="14.33203125" bestFit="1" customWidth="1"/>
    <col min="13" max="13" width="14.6640625" bestFit="1" customWidth="1"/>
    <col min="14" max="14" width="14.88671875" bestFit="1" customWidth="1"/>
    <col min="15" max="15" width="8.88671875" bestFit="1" customWidth="1"/>
    <col min="16" max="16" width="9.44140625" bestFit="1" customWidth="1"/>
  </cols>
  <sheetData>
    <row r="1" spans="1:16" s="1" customFormat="1">
      <c r="A1" s="1" t="s">
        <v>45</v>
      </c>
      <c r="B1" s="1" t="s">
        <v>87</v>
      </c>
      <c r="C1" s="1" t="s">
        <v>88</v>
      </c>
      <c r="D1" s="1" t="s">
        <v>47</v>
      </c>
      <c r="E1" s="1" t="s">
        <v>65</v>
      </c>
      <c r="F1" s="1" t="s">
        <v>66</v>
      </c>
      <c r="G1" s="1" t="s">
        <v>48</v>
      </c>
      <c r="H1" s="1" t="s">
        <v>1</v>
      </c>
      <c r="I1" s="1" t="s">
        <v>50</v>
      </c>
      <c r="J1" s="1" t="s">
        <v>51</v>
      </c>
      <c r="K1" s="1" t="s">
        <v>133</v>
      </c>
      <c r="L1" s="1" t="s">
        <v>134</v>
      </c>
      <c r="M1" s="1" t="s">
        <v>135</v>
      </c>
      <c r="N1" s="1" t="s">
        <v>136</v>
      </c>
      <c r="O1" s="1" t="s">
        <v>67</v>
      </c>
      <c r="P1" s="1" t="s">
        <v>68</v>
      </c>
    </row>
    <row r="2" spans="1:16">
      <c r="A2" t="s">
        <v>93</v>
      </c>
      <c r="B2" s="3">
        <v>46220</v>
      </c>
      <c r="C2" t="s">
        <v>89</v>
      </c>
      <c r="D2" t="s">
        <v>30</v>
      </c>
      <c r="E2">
        <v>2</v>
      </c>
      <c r="F2">
        <v>2</v>
      </c>
      <c r="G2" t="s">
        <v>32</v>
      </c>
      <c r="H2" t="s">
        <v>31</v>
      </c>
      <c r="I2">
        <f>VLOOKUP(D2,Resultados_Apertura!$D$2:$J$154,6,FALSE)</f>
        <v>2750</v>
      </c>
      <c r="J2">
        <f>VLOOKUP(G2,Resultados_Apertura!$G$2:$J$154,4,FALSE)</f>
        <v>209</v>
      </c>
      <c r="K2" s="10">
        <f>SUMIF(Resultados_Apertura!$D$2:$D$154, Resultados_Clausura!D2, Resultados_Apertura!$E$2:$E$154) / COUNTIF(Resultados_Apertura!$D$2:$D$154, Resultados_Clausura!D2)</f>
        <v>2</v>
      </c>
      <c r="L2" s="10">
        <f>SUMIF(Resultados_Apertura!$D$2:$D$154, Resultados_Clausura!D2, Resultados_Apertura!$F$2:$F$154) / COUNTIF(Resultados_Apertura!$D$2:$D$154, Resultados_Clausura!D2)</f>
        <v>1.625</v>
      </c>
      <c r="M2" s="10">
        <f>SUMIF(Resultados_Apertura!$G$2:$G$154, Resultados_Clausura!G2, Resultados_Apertura!$F$2:$F$154) / COUNTIF(Resultados_Apertura!$G$2:$G$154, Resultados_Clausura!G2)</f>
        <v>1.125</v>
      </c>
      <c r="N2" s="10">
        <f>SUMIF(Resultados_Apertura!$G$2:$G$154, Resultados_Clausura!G2, Resultados_Apertura!$E$2:$E$154) / COUNTIF(Resultados_Apertura!$G$2:$G$154, Resultados_Clausura!G2)</f>
        <v>2.625</v>
      </c>
      <c r="O2" s="9">
        <f>((K2 * N2) / Formulas!$D$2) * IF(J2&gt;=2000, 1.2, IF(J2&gt;=1000, 1.1, 1))</f>
        <v>3.15</v>
      </c>
      <c r="P2" s="9">
        <f>((M2 * L2) / Formulas!$D$6) * IF(J2&gt;=2000, 0.75, IF(J2&gt;=1000, 0.85, 1))</f>
        <v>1.6875000000000002</v>
      </c>
    </row>
    <row r="3" spans="1:16">
      <c r="A3" t="s">
        <v>93</v>
      </c>
      <c r="B3" s="3">
        <v>46220</v>
      </c>
      <c r="C3" t="s">
        <v>89</v>
      </c>
      <c r="D3" t="s">
        <v>42</v>
      </c>
      <c r="E3">
        <v>1</v>
      </c>
      <c r="F3">
        <v>0</v>
      </c>
      <c r="G3" t="s">
        <v>26</v>
      </c>
      <c r="H3" t="s">
        <v>13</v>
      </c>
      <c r="I3">
        <f>VLOOKUP(D3,Resultados_Apertura!$D$2:$J$154,6,FALSE)</f>
        <v>150</v>
      </c>
      <c r="J3">
        <f>VLOOKUP(G3,Resultados_Apertura!$G$2:$J$154,4,FALSE)</f>
        <v>3399</v>
      </c>
      <c r="K3" s="10">
        <f>SUMIF(Resultados_Apertura!$D$2:$D$154, Resultados_Clausura!D3, Resultados_Apertura!$E$2:$E$154) / COUNTIF(Resultados_Apertura!$D$2:$D$154, Resultados_Clausura!D3)</f>
        <v>2.125</v>
      </c>
      <c r="L3" s="10">
        <f>SUMIF(Resultados_Apertura!$D$2:$D$154, Resultados_Clausura!D3, Resultados_Apertura!$F$2:$F$154) / COUNTIF(Resultados_Apertura!$D$2:$D$154, Resultados_Clausura!D3)</f>
        <v>1.5</v>
      </c>
      <c r="M3" s="10">
        <f>SUMIF(Resultados_Apertura!$G$2:$G$154, Resultados_Clausura!G3, Resultados_Apertura!$F$2:$F$154) / COUNTIF(Resultados_Apertura!$G$2:$G$154, Resultados_Clausura!G3)</f>
        <v>0.5</v>
      </c>
      <c r="N3" s="10">
        <f>SUMIF(Resultados_Apertura!$G$2:$G$154, Resultados_Clausura!G3, Resultados_Apertura!$E$2:$E$154) / COUNTIF(Resultados_Apertura!$G$2:$G$154, Resultados_Clausura!G3)</f>
        <v>1.125</v>
      </c>
      <c r="O3" s="9">
        <f>((K3 * N3) / Formulas!$D$2) * IF(J3&gt;=2000, 1.2, IF(J3&gt;=1000, 1.1, 1))</f>
        <v>1.7212499999999999</v>
      </c>
      <c r="P3" s="9">
        <f>((M3 * L3) / Formulas!$D$6) * IF(J3&gt;=2000, 0.75, IF(J3&gt;=1000, 0.85, 1))</f>
        <v>0.51923076923076927</v>
      </c>
    </row>
    <row r="4" spans="1:16">
      <c r="A4" t="s">
        <v>93</v>
      </c>
      <c r="B4" s="3">
        <v>46220</v>
      </c>
      <c r="C4" t="s">
        <v>89</v>
      </c>
      <c r="D4" t="s">
        <v>17</v>
      </c>
      <c r="E4">
        <v>1</v>
      </c>
      <c r="F4">
        <v>3</v>
      </c>
      <c r="G4" t="s">
        <v>37</v>
      </c>
      <c r="H4" t="s">
        <v>18</v>
      </c>
      <c r="I4">
        <f>VLOOKUP(D4,Resultados_Apertura!$D$2:$J$154,6,FALSE)</f>
        <v>3399</v>
      </c>
      <c r="J4">
        <f>VLOOKUP(G4,Resultados_Apertura!$G$2:$J$154,4,FALSE)</f>
        <v>2335</v>
      </c>
      <c r="K4" s="10">
        <f>SUMIF(Resultados_Apertura!$D$2:$D$154, Resultados_Clausura!D4, Resultados_Apertura!$E$2:$E$154) / COUNTIF(Resultados_Apertura!$D$2:$D$154, Resultados_Clausura!D4)</f>
        <v>2.4444444444444446</v>
      </c>
      <c r="L4" s="10">
        <f>SUMIF(Resultados_Apertura!$D$2:$D$154, Resultados_Clausura!D4, Resultados_Apertura!$F$2:$F$154) / COUNTIF(Resultados_Apertura!$D$2:$D$154, Resultados_Clausura!D4)</f>
        <v>1</v>
      </c>
      <c r="M4" s="10">
        <f>SUMIF(Resultados_Apertura!$G$2:$G$154, Resultados_Clausura!G4, Resultados_Apertura!$F$2:$F$154) / COUNTIF(Resultados_Apertura!$G$2:$G$154, Resultados_Clausura!G4)</f>
        <v>1.25</v>
      </c>
      <c r="N4" s="10">
        <f>SUMIF(Resultados_Apertura!$G$2:$G$154, Resultados_Clausura!G4, Resultados_Apertura!$E$2:$E$154) / COUNTIF(Resultados_Apertura!$G$2:$G$154, Resultados_Clausura!G4)</f>
        <v>1.5</v>
      </c>
      <c r="O4" s="9">
        <f>((K4 * N4) / Formulas!$D$2) * IF(J4&gt;=2000, 1.2, IF(J4&gt;=1000, 1.1, 1))</f>
        <v>2.64</v>
      </c>
      <c r="P4" s="9">
        <f>((M4 * L4) / Formulas!$D$6) * IF(J4&gt;=2000, 0.75, IF(J4&gt;=1000, 0.85, 1))</f>
        <v>0.86538461538461542</v>
      </c>
    </row>
    <row r="5" spans="1:16">
      <c r="A5" t="s">
        <v>93</v>
      </c>
      <c r="B5" s="3">
        <v>46221</v>
      </c>
      <c r="C5" t="s">
        <v>90</v>
      </c>
      <c r="D5" t="s">
        <v>27</v>
      </c>
      <c r="E5">
        <v>2</v>
      </c>
      <c r="F5">
        <v>2</v>
      </c>
      <c r="G5" t="s">
        <v>19</v>
      </c>
      <c r="H5" t="s">
        <v>28</v>
      </c>
      <c r="I5">
        <f>VLOOKUP(D5,Resultados_Apertura!$D$2:$J$154,6,FALSE)</f>
        <v>1410</v>
      </c>
      <c r="J5">
        <f>VLOOKUP(G5,Resultados_Apertura!$G$2:$J$154,4,FALSE)</f>
        <v>2637</v>
      </c>
      <c r="K5" s="10">
        <f>SUMIF(Resultados_Apertura!$D$2:$D$154, Resultados_Clausura!D5, Resultados_Apertura!$E$2:$E$154) / COUNTIF(Resultados_Apertura!$D$2:$D$154, Resultados_Clausura!D5)</f>
        <v>1.625</v>
      </c>
      <c r="L5" s="10">
        <f>SUMIF(Resultados_Apertura!$D$2:$D$154, Resultados_Clausura!D5, Resultados_Apertura!$F$2:$F$154) / COUNTIF(Resultados_Apertura!$D$2:$D$154, Resultados_Clausura!D5)</f>
        <v>1.125</v>
      </c>
      <c r="M5" s="10">
        <f>SUMIF(Resultados_Apertura!$G$2:$G$154, Resultados_Clausura!G5, Resultados_Apertura!$F$2:$F$154) / COUNTIF(Resultados_Apertura!$G$2:$G$154, Resultados_Clausura!G5)</f>
        <v>1.125</v>
      </c>
      <c r="N5" s="10">
        <f>SUMIF(Resultados_Apertura!$G$2:$G$154, Resultados_Clausura!G5, Resultados_Apertura!$E$2:$E$154) / COUNTIF(Resultados_Apertura!$G$2:$G$154, Resultados_Clausura!G5)</f>
        <v>1.875</v>
      </c>
      <c r="O5" s="9">
        <f>((K5 * N5) / Formulas!$D$2) * IF(J5&gt;=2000, 1.2, IF(J5&gt;=1000, 1.1, 1))</f>
        <v>2.1937500000000001</v>
      </c>
      <c r="P5" s="9">
        <f>((M5 * L5) / Formulas!$D$6) * IF(J5&gt;=2000, 0.75, IF(J5&gt;=1000, 0.85, 1))</f>
        <v>0.87620192307692313</v>
      </c>
    </row>
    <row r="6" spans="1:16">
      <c r="A6" t="s">
        <v>93</v>
      </c>
      <c r="B6" s="3">
        <v>46221</v>
      </c>
      <c r="C6" t="s">
        <v>90</v>
      </c>
      <c r="D6" t="s">
        <v>5</v>
      </c>
      <c r="E6">
        <v>1</v>
      </c>
      <c r="F6">
        <v>2</v>
      </c>
      <c r="G6" t="s">
        <v>43</v>
      </c>
      <c r="H6" t="s">
        <v>6</v>
      </c>
      <c r="I6">
        <f>VLOOKUP(D6,Resultados_Apertura!$D$2:$J$154,6,FALSE)</f>
        <v>3050</v>
      </c>
      <c r="J6">
        <f>VLOOKUP(G6,Resultados_Apertura!$G$2:$J$154,4,FALSE)</f>
        <v>150</v>
      </c>
      <c r="K6" s="10">
        <f>SUMIF(Resultados_Apertura!$D$2:$D$154, Resultados_Clausura!D6, Resultados_Apertura!$E$2:$E$154) / COUNTIF(Resultados_Apertura!$D$2:$D$154, Resultados_Clausura!D6)</f>
        <v>1.5555555555555556</v>
      </c>
      <c r="L6" s="10">
        <f>SUMIF(Resultados_Apertura!$D$2:$D$154, Resultados_Clausura!D6, Resultados_Apertura!$F$2:$F$154) / COUNTIF(Resultados_Apertura!$D$2:$D$154, Resultados_Clausura!D6)</f>
        <v>1</v>
      </c>
      <c r="M6" s="10">
        <f>SUMIF(Resultados_Apertura!$G$2:$G$154, Resultados_Clausura!G6, Resultados_Apertura!$F$2:$F$154) / COUNTIF(Resultados_Apertura!$G$2:$G$154, Resultados_Clausura!G6)</f>
        <v>1.125</v>
      </c>
      <c r="N6" s="10">
        <f>SUMIF(Resultados_Apertura!$G$2:$G$154, Resultados_Clausura!G6, Resultados_Apertura!$E$2:$E$154) / COUNTIF(Resultados_Apertura!$G$2:$G$154, Resultados_Clausura!G6)</f>
        <v>1.125</v>
      </c>
      <c r="O6" s="9">
        <f>((K6 * N6) / Formulas!$D$2) * IF(J6&gt;=2000, 1.2, IF(J6&gt;=1000, 1.1, 1))</f>
        <v>1.05</v>
      </c>
      <c r="P6" s="9">
        <f>((M6 * L6) / Formulas!$D$6) * IF(J6&gt;=2000, 0.75, IF(J6&gt;=1000, 0.85, 1))</f>
        <v>1.0384615384615385</v>
      </c>
    </row>
    <row r="7" spans="1:16">
      <c r="A7" t="s">
        <v>93</v>
      </c>
      <c r="B7" s="3">
        <v>46221</v>
      </c>
      <c r="C7" t="s">
        <v>90</v>
      </c>
      <c r="D7" t="s">
        <v>15</v>
      </c>
      <c r="E7">
        <v>3</v>
      </c>
      <c r="F7">
        <v>1</v>
      </c>
      <c r="G7" t="s">
        <v>44</v>
      </c>
      <c r="H7" t="s">
        <v>10</v>
      </c>
      <c r="I7">
        <f>VLOOKUP(D7,Resultados_Apertura!$D$2:$J$154,6,FALSE)</f>
        <v>29</v>
      </c>
      <c r="J7">
        <f>VLOOKUP(G7,Resultados_Apertura!$G$2:$J$154,4,FALSE)</f>
        <v>2750</v>
      </c>
      <c r="K7" s="10">
        <f>SUMIF(Resultados_Apertura!$D$2:$D$154, Resultados_Clausura!D7, Resultados_Apertura!$E$2:$E$154) / COUNTIF(Resultados_Apertura!$D$2:$D$154, Resultados_Clausura!D7)</f>
        <v>1</v>
      </c>
      <c r="L7" s="10">
        <f>SUMIF(Resultados_Apertura!$D$2:$D$154, Resultados_Clausura!D7, Resultados_Apertura!$F$2:$F$154) / COUNTIF(Resultados_Apertura!$D$2:$D$154, Resultados_Clausura!D7)</f>
        <v>0.75</v>
      </c>
      <c r="M7" s="10">
        <f>SUMIF(Resultados_Apertura!$G$2:$G$154, Resultados_Clausura!G7, Resultados_Apertura!$F$2:$F$154) / COUNTIF(Resultados_Apertura!$G$2:$G$154, Resultados_Clausura!G7)</f>
        <v>1.3333333333333333</v>
      </c>
      <c r="N7" s="10">
        <f>SUMIF(Resultados_Apertura!$G$2:$G$154, Resultados_Clausura!G7, Resultados_Apertura!$E$2:$E$154) / COUNTIF(Resultados_Apertura!$G$2:$G$154, Resultados_Clausura!G7)</f>
        <v>2</v>
      </c>
      <c r="O7" s="9">
        <f>((K7 * N7) / Formulas!$D$2) * IF(J7&gt;=2000, 1.2, IF(J7&gt;=1000, 1.1, 1))</f>
        <v>1.44</v>
      </c>
      <c r="P7" s="9">
        <f>((M7 * L7) / Formulas!$D$6) * IF(J7&gt;=2000, 0.75, IF(J7&gt;=1000, 0.85, 1))</f>
        <v>0.69230769230769229</v>
      </c>
    </row>
    <row r="8" spans="1:16">
      <c r="A8" t="s">
        <v>93</v>
      </c>
      <c r="B8" s="3">
        <v>46221</v>
      </c>
      <c r="C8" t="s">
        <v>90</v>
      </c>
      <c r="D8" t="s">
        <v>23</v>
      </c>
      <c r="E8">
        <v>4</v>
      </c>
      <c r="F8">
        <v>1</v>
      </c>
      <c r="G8" t="s">
        <v>9</v>
      </c>
      <c r="H8" t="s">
        <v>18</v>
      </c>
      <c r="I8">
        <f>VLOOKUP(D8,Resultados_Apertura!$D$2:$J$154,6,FALSE)</f>
        <v>3399</v>
      </c>
      <c r="J8">
        <f>VLOOKUP(G8,Resultados_Apertura!$G$2:$J$154,4,FALSE)</f>
        <v>60</v>
      </c>
      <c r="K8" s="10">
        <f>SUMIF(Resultados_Apertura!$D$2:$D$154, Resultados_Clausura!D8, Resultados_Apertura!$E$2:$E$154) / COUNTIF(Resultados_Apertura!$D$2:$D$154, Resultados_Clausura!D8)</f>
        <v>1.375</v>
      </c>
      <c r="L8" s="10">
        <f>SUMIF(Resultados_Apertura!$D$2:$D$154, Resultados_Clausura!D8, Resultados_Apertura!$F$2:$F$154) / COUNTIF(Resultados_Apertura!$D$2:$D$154, Resultados_Clausura!D8)</f>
        <v>0.75</v>
      </c>
      <c r="M8" s="10">
        <f>SUMIF(Resultados_Apertura!$G$2:$G$154, Resultados_Clausura!G8, Resultados_Apertura!$F$2:$F$154) / COUNTIF(Resultados_Apertura!$G$2:$G$154, Resultados_Clausura!G8)</f>
        <v>1</v>
      </c>
      <c r="N8" s="10">
        <f>SUMIF(Resultados_Apertura!$G$2:$G$154, Resultados_Clausura!G8, Resultados_Apertura!$E$2:$E$154) / COUNTIF(Resultados_Apertura!$G$2:$G$154, Resultados_Clausura!G8)</f>
        <v>1.4444444444444444</v>
      </c>
      <c r="O8" s="9">
        <f>((K8 * N8) / Formulas!$D$2) * IF(J8&gt;=2000, 1.2, IF(J8&gt;=1000, 1.1, 1))</f>
        <v>1.1916666666666667</v>
      </c>
      <c r="P8" s="9">
        <f>((M8 * L8) / Formulas!$D$6) * IF(J8&gt;=2000, 0.75, IF(J8&gt;=1000, 0.85, 1))</f>
        <v>0.6923076923076924</v>
      </c>
    </row>
    <row r="9" spans="1:16">
      <c r="A9" t="s">
        <v>93</v>
      </c>
      <c r="B9" s="3">
        <v>46222</v>
      </c>
      <c r="C9" t="s">
        <v>91</v>
      </c>
      <c r="D9" t="s">
        <v>35</v>
      </c>
      <c r="E9">
        <v>1</v>
      </c>
      <c r="F9">
        <v>0</v>
      </c>
      <c r="G9" t="s">
        <v>39</v>
      </c>
      <c r="H9" t="s">
        <v>36</v>
      </c>
      <c r="I9">
        <f>VLOOKUP(D9,Resultados_Apertura!$D$2:$J$154,6,FALSE)</f>
        <v>2926</v>
      </c>
      <c r="J9">
        <f>VLOOKUP(G9,Resultados_Apertura!$G$2:$J$154,4,FALSE)</f>
        <v>5</v>
      </c>
      <c r="K9" s="10">
        <f>SUMIF(Resultados_Apertura!$D$2:$D$154, Resultados_Clausura!D9, Resultados_Apertura!$E$2:$E$154) / COUNTIF(Resultados_Apertura!$D$2:$D$154, Resultados_Clausura!D9)</f>
        <v>1.7777777777777777</v>
      </c>
      <c r="L9" s="10">
        <f>SUMIF(Resultados_Apertura!$D$2:$D$154, Resultados_Clausura!D9, Resultados_Apertura!$F$2:$F$154) / COUNTIF(Resultados_Apertura!$D$2:$D$154, Resultados_Clausura!D9)</f>
        <v>0.88888888888888884</v>
      </c>
      <c r="M9" s="10">
        <f>SUMIF(Resultados_Apertura!$G$2:$G$154, Resultados_Clausura!G9, Resultados_Apertura!$F$2:$F$154) / COUNTIF(Resultados_Apertura!$G$2:$G$154, Resultados_Clausura!G9)</f>
        <v>0.75</v>
      </c>
      <c r="N9" s="10">
        <f>SUMIF(Resultados_Apertura!$G$2:$G$154, Resultados_Clausura!G9, Resultados_Apertura!$E$2:$E$154) / COUNTIF(Resultados_Apertura!$G$2:$G$154, Resultados_Clausura!G9)</f>
        <v>1.75</v>
      </c>
      <c r="O9" s="9">
        <f>((K9 * N9) / Formulas!$D$2) * IF(J9&gt;=2000, 1.2, IF(J9&gt;=1000, 1.1, 1))</f>
        <v>1.8666666666666663</v>
      </c>
      <c r="P9" s="9">
        <f>((M9 * L9) / Formulas!$D$6) * IF(J9&gt;=2000, 0.75, IF(J9&gt;=1000, 0.85, 1))</f>
        <v>0.61538461538461542</v>
      </c>
    </row>
    <row r="10" spans="1:16">
      <c r="A10" t="s">
        <v>93</v>
      </c>
      <c r="B10" s="3">
        <v>46222</v>
      </c>
      <c r="C10" t="s">
        <v>91</v>
      </c>
      <c r="D10" t="s">
        <v>12</v>
      </c>
      <c r="E10">
        <v>2</v>
      </c>
      <c r="F10">
        <v>1</v>
      </c>
      <c r="G10" t="s">
        <v>24</v>
      </c>
      <c r="H10" t="s">
        <v>13</v>
      </c>
      <c r="I10">
        <f>VLOOKUP(D10,Resultados_Apertura!$D$2:$J$154,6,FALSE)</f>
        <v>150</v>
      </c>
      <c r="J10">
        <f>VLOOKUP(G10,Resultados_Apertura!$G$2:$J$154,4,FALSE)</f>
        <v>3259</v>
      </c>
      <c r="K10" s="10">
        <f>SUMIF(Resultados_Apertura!$D$2:$D$154, Resultados_Clausura!D10, Resultados_Apertura!$E$2:$E$154) / COUNTIF(Resultados_Apertura!$D$2:$D$154, Resultados_Clausura!D10)</f>
        <v>2.75</v>
      </c>
      <c r="L10" s="10">
        <f>SUMIF(Resultados_Apertura!$D$2:$D$154, Resultados_Clausura!D10, Resultados_Apertura!$F$2:$F$154) / COUNTIF(Resultados_Apertura!$D$2:$D$154, Resultados_Clausura!D10)</f>
        <v>0.5</v>
      </c>
      <c r="M10" s="10">
        <f>SUMIF(Resultados_Apertura!$G$2:$G$154, Resultados_Clausura!G10, Resultados_Apertura!$F$2:$F$154) / COUNTIF(Resultados_Apertura!$G$2:$G$154, Resultados_Clausura!G10)</f>
        <v>1</v>
      </c>
      <c r="N10" s="10">
        <f>SUMIF(Resultados_Apertura!$G$2:$G$154, Resultados_Clausura!G10, Resultados_Apertura!$E$2:$E$154) / COUNTIF(Resultados_Apertura!$G$2:$G$154, Resultados_Clausura!G10)</f>
        <v>2.4444444444444446</v>
      </c>
      <c r="O10" s="9">
        <f>((K10 * N10) / Formulas!$D$2) * IF(J10&gt;=2000, 1.2, IF(J10&gt;=1000, 1.1, 1))</f>
        <v>4.8400000000000007</v>
      </c>
      <c r="P10" s="9">
        <f>((M10 * L10) / Formulas!$D$6) * IF(J10&gt;=2000, 0.75, IF(J10&gt;=1000, 0.85, 1))</f>
        <v>0.34615384615384615</v>
      </c>
    </row>
    <row r="11" spans="1:16">
      <c r="A11" t="s">
        <v>94</v>
      </c>
      <c r="B11" s="3">
        <v>46227</v>
      </c>
      <c r="C11" t="s">
        <v>89</v>
      </c>
      <c r="D11" t="s">
        <v>9</v>
      </c>
      <c r="E11">
        <v>3</v>
      </c>
      <c r="F11">
        <v>1</v>
      </c>
      <c r="G11" t="s">
        <v>35</v>
      </c>
      <c r="H11" t="s">
        <v>10</v>
      </c>
      <c r="I11">
        <f>VLOOKUP(D11,Resultados_Apertura!$D$2:$J$154,6,FALSE)</f>
        <v>60</v>
      </c>
      <c r="J11">
        <f>VLOOKUP(G11,Resultados_Apertura!$G$2:$J$154,4,FALSE)</f>
        <v>2926</v>
      </c>
      <c r="K11" s="10">
        <f>(SUMIF(Resultados_Apertura!$D$2:$D$154, D10, Resultados_Apertura!$E$2:$E$154) + SUMIF($D$2:$D9, D10, $E$2:$E9)) / (COUNTIF(Resultados_Apertura!$D$2:$D$154, D10) + COUNTIF($D$2:$D9, D10))</f>
        <v>2.75</v>
      </c>
      <c r="L11" s="10">
        <f>(SUMIF(Resultados_Apertura!$D$2:$D$154, D10, Resultados_Apertura!$F$2:$F$154) + SUMIF($D$2:$D9, D10, $F$2:$F9)) / (COUNTIF(Resultados_Apertura!$D$2:$D$154, D10) + COUNTIF($D$2:$D9, D10))</f>
        <v>0.5</v>
      </c>
      <c r="M11" s="10">
        <f>(SUMIF(Resultados_Apertura!$G$2:$G$154, G10, Resultados_Apertura!$F$2:$F$154) + SUMIF($G$2:$G9, G10, $F$2:$F9)) / (COUNTIF(Resultados_Apertura!$G$2:$G$154, G10) + COUNTIF($G$2:$G9, G10))</f>
        <v>1</v>
      </c>
      <c r="N11" s="10">
        <f>(SUMIF(Resultados_Apertura!$G$2:$G$154, G10, Resultados_Apertura!$E$2:$E$154) + SUMIF($G$2:$G9, G10, $E$2:$E9)) / (COUNTIF(Resultados_Apertura!$G$2:$G$154, G10) + COUNTIF($G$2:$G9, G10))</f>
        <v>2.4444444444444446</v>
      </c>
      <c r="O11" s="9">
        <f>((K11 * N11) / Formulas!$D$2) * IF(J11&gt;=2000, 1.2, IF(J11&gt;=1000, 1.1, 1))</f>
        <v>4.8400000000000007</v>
      </c>
      <c r="P11" s="9">
        <f>((M11 * L11) / Formulas!$D$6) * IF(J11&gt;=2000, 0.75, IF(J11&gt;=1000, 0.85, 1))</f>
        <v>0.34615384615384615</v>
      </c>
    </row>
    <row r="12" spans="1:16">
      <c r="A12" t="s">
        <v>94</v>
      </c>
      <c r="B12" s="3">
        <v>46227</v>
      </c>
      <c r="C12" t="s">
        <v>89</v>
      </c>
      <c r="D12" t="s">
        <v>43</v>
      </c>
      <c r="E12">
        <v>2</v>
      </c>
      <c r="F12">
        <v>1</v>
      </c>
      <c r="G12" t="s">
        <v>23</v>
      </c>
      <c r="H12" t="s">
        <v>13</v>
      </c>
      <c r="I12">
        <f>VLOOKUP(D12,Resultados_Apertura!$D$2:$J$154,6,FALSE)</f>
        <v>150</v>
      </c>
      <c r="J12">
        <f>VLOOKUP(G12,Resultados_Apertura!$G$2:$J$154,4,FALSE)</f>
        <v>3399</v>
      </c>
      <c r="K12" s="10">
        <f>(SUMIF(Resultados_Apertura!$D$2:$D$154, D11, Resultados_Apertura!$E$2:$E$154) + SUMIF($D$2:$D10, D11, $E$2:$E10)) / (COUNTIF(Resultados_Apertura!$D$2:$D$154, D11) + COUNTIF($D$2:$D10, D11))</f>
        <v>1.375</v>
      </c>
      <c r="L12" s="10">
        <f>(SUMIF(Resultados_Apertura!$D$2:$D$154, D11, Resultados_Apertura!$F$2:$F$154) + SUMIF($D$2:$D10, D11, $F$2:$F10)) / (COUNTIF(Resultados_Apertura!$D$2:$D$154, D11) + COUNTIF($D$2:$D10, D11))</f>
        <v>0.625</v>
      </c>
      <c r="M12" s="10">
        <f>(SUMIF(Resultados_Apertura!$G$2:$G$154, G11, Resultados_Apertura!$F$2:$F$154) + SUMIF($G$2:$G10, G11, $F$2:$F10)) / (COUNTIF(Resultados_Apertura!$G$2:$G$154, G11) + COUNTIF($G$2:$G10, G11))</f>
        <v>1.125</v>
      </c>
      <c r="N12" s="10">
        <f>(SUMIF(Resultados_Apertura!$G$2:$G$154, G11, Resultados_Apertura!$E$2:$E$154) + SUMIF($G$2:$G10, G11, $E$2:$E10)) / (COUNTIF(Resultados_Apertura!$G$2:$G$154, G11) + COUNTIF($G$2:$G10, G11))</f>
        <v>1.625</v>
      </c>
      <c r="O12" s="9">
        <f>((K12 * N12) / Formulas!$D$2) * IF(J12&gt;=2000, 1.2, IF(J12&gt;=1000, 1.1, 1))</f>
        <v>1.6087499999999999</v>
      </c>
      <c r="P12" s="9">
        <f>((M12 * L12) / Formulas!$D$6) * IF(J12&gt;=2000, 0.75, IF(J12&gt;=1000, 0.85, 1))</f>
        <v>0.48677884615384615</v>
      </c>
    </row>
    <row r="13" spans="1:16">
      <c r="A13" t="s">
        <v>94</v>
      </c>
      <c r="B13" s="3">
        <v>46228</v>
      </c>
      <c r="C13" t="s">
        <v>90</v>
      </c>
      <c r="D13" t="s">
        <v>39</v>
      </c>
      <c r="E13">
        <v>2</v>
      </c>
      <c r="F13">
        <v>0</v>
      </c>
      <c r="G13" t="s">
        <v>5</v>
      </c>
      <c r="H13" t="s">
        <v>40</v>
      </c>
      <c r="I13">
        <f>VLOOKUP(D13,Resultados_Apertura!$D$2:$J$154,6,FALSE)</f>
        <v>5</v>
      </c>
      <c r="J13">
        <f>VLOOKUP(G13,Resultados_Apertura!$G$2:$J$154,4,FALSE)</f>
        <v>3050</v>
      </c>
      <c r="K13" s="10">
        <f>(SUMIF(Resultados_Apertura!$D$2:$D$154, D12, Resultados_Apertura!$E$2:$E$154) + SUMIF($D$2:$D11, D12, $E$2:$E11)) / (COUNTIF(Resultados_Apertura!$D$2:$D$154, D12) + COUNTIF($D$2:$D11, D12))</f>
        <v>1.6666666666666667</v>
      </c>
      <c r="L13" s="10">
        <f>(SUMIF(Resultados_Apertura!$D$2:$D$154, D12, Resultados_Apertura!$F$2:$F$154) + SUMIF($D$2:$D11, D12, $F$2:$F11)) / (COUNTIF(Resultados_Apertura!$D$2:$D$154, D12) + COUNTIF($D$2:$D11, D12))</f>
        <v>0.66666666666666663</v>
      </c>
      <c r="M13" s="10">
        <f>(SUMIF(Resultados_Apertura!$G$2:$G$154, G12, Resultados_Apertura!$F$2:$F$154) + SUMIF($G$2:$G11, G12, $F$2:$F11)) / (COUNTIF(Resultados_Apertura!$G$2:$G$154, G12) + COUNTIF($G$2:$G11, G12))</f>
        <v>1.1111111111111112</v>
      </c>
      <c r="N13" s="10">
        <f>(SUMIF(Resultados_Apertura!$G$2:$G$154, G12, Resultados_Apertura!$E$2:$E$154) + SUMIF($G$2:$G11, G12, $E$2:$E11)) / (COUNTIF(Resultados_Apertura!$G$2:$G$154, G12) + COUNTIF($G$2:$G11, G12))</f>
        <v>2</v>
      </c>
      <c r="O13" s="9">
        <f>((K13 * N13) / Formulas!$D$2) * IF(J13&gt;=2000, 1.2, IF(J13&gt;=1000, 1.1, 1))</f>
        <v>2.4</v>
      </c>
      <c r="P13" s="9">
        <f>((M13 * L13) / Formulas!$D$6) * IF(J13&gt;=2000, 0.75, IF(J13&gt;=1000, 0.85, 1))</f>
        <v>0.51282051282051277</v>
      </c>
    </row>
    <row r="14" spans="1:16">
      <c r="A14" t="s">
        <v>94</v>
      </c>
      <c r="B14" s="3">
        <v>46228</v>
      </c>
      <c r="C14" t="s">
        <v>90</v>
      </c>
      <c r="D14" t="s">
        <v>24</v>
      </c>
      <c r="E14">
        <v>2</v>
      </c>
      <c r="F14">
        <v>0</v>
      </c>
      <c r="G14" t="s">
        <v>15</v>
      </c>
      <c r="H14" t="s">
        <v>25</v>
      </c>
      <c r="I14">
        <f>VLOOKUP(D14,Resultados_Apertura!$D$2:$J$154,6,FALSE)</f>
        <v>3259</v>
      </c>
      <c r="J14">
        <f>VLOOKUP(G14,Resultados_Apertura!$G$2:$J$154,4,FALSE)</f>
        <v>29</v>
      </c>
      <c r="K14" s="10">
        <f>(SUMIF(Resultados_Apertura!$D$2:$D$154, D13, Resultados_Apertura!$E$2:$E$154) + SUMIF($D$2:$D12, D13, $E$2:$E12)) / (COUNTIF(Resultados_Apertura!$D$2:$D$154, D13) + COUNTIF($D$2:$D12, D13))</f>
        <v>1</v>
      </c>
      <c r="L14" s="10">
        <f>(SUMIF(Resultados_Apertura!$D$2:$D$154, D13, Resultados_Apertura!$F$2:$F$154) + SUMIF($D$2:$D12, D13, $F$2:$F12)) / (COUNTIF(Resultados_Apertura!$D$2:$D$154, D13) + COUNTIF($D$2:$D12, D13))</f>
        <v>0.55555555555555558</v>
      </c>
      <c r="M14" s="10">
        <f>(SUMIF(Resultados_Apertura!$G$2:$G$154, G13, Resultados_Apertura!$F$2:$F$154) + SUMIF($G$2:$G12, G13, $F$2:$F12)) / (COUNTIF(Resultados_Apertura!$G$2:$G$154, G13) + COUNTIF($G$2:$G12, G13))</f>
        <v>1</v>
      </c>
      <c r="N14" s="10">
        <f>(SUMIF(Resultados_Apertura!$G$2:$G$154, G13, Resultados_Apertura!$E$2:$E$154) + SUMIF($G$2:$G12, G13, $E$2:$E12)) / (COUNTIF(Resultados_Apertura!$G$2:$G$154, G13) + COUNTIF($G$2:$G12, G13))</f>
        <v>1.5</v>
      </c>
      <c r="O14" s="9">
        <f>((K14 * N14) / Formulas!$D$2) * IF(J14&gt;=2000, 1.2, IF(J14&gt;=1000, 1.1, 1))</f>
        <v>0.89999999999999991</v>
      </c>
      <c r="P14" s="9">
        <f>((M14 * L14) / Formulas!$D$6) * IF(J14&gt;=2000, 0.75, IF(J14&gt;=1000, 0.85, 1))</f>
        <v>0.51282051282051289</v>
      </c>
    </row>
    <row r="15" spans="1:16">
      <c r="A15" t="s">
        <v>94</v>
      </c>
      <c r="B15" s="3">
        <v>46228</v>
      </c>
      <c r="C15" t="s">
        <v>90</v>
      </c>
      <c r="D15" t="s">
        <v>32</v>
      </c>
      <c r="E15">
        <v>2</v>
      </c>
      <c r="F15">
        <v>0</v>
      </c>
      <c r="G15" t="s">
        <v>17</v>
      </c>
      <c r="H15" t="s">
        <v>33</v>
      </c>
      <c r="I15">
        <f>VLOOKUP(D15,Resultados_Apertura!$D$2:$J$154,6,FALSE)</f>
        <v>209</v>
      </c>
      <c r="J15">
        <f>VLOOKUP(G15,Resultados_Apertura!$G$2:$J$154,4,FALSE)</f>
        <v>3399</v>
      </c>
      <c r="K15" s="10">
        <f>(SUMIF(Resultados_Apertura!$D$2:$D$154, D14, Resultados_Apertura!$E$2:$E$154) + SUMIF($D$2:$D13, D14, $E$2:$E13)) / (COUNTIF(Resultados_Apertura!$D$2:$D$154, D14) + COUNTIF($D$2:$D13, D14))</f>
        <v>1.5</v>
      </c>
      <c r="L15" s="10">
        <f>(SUMIF(Resultados_Apertura!$D$2:$D$154, D14, Resultados_Apertura!$F$2:$F$154) + SUMIF($D$2:$D13, D14, $F$2:$F13)) / (COUNTIF(Resultados_Apertura!$D$2:$D$154, D14) + COUNTIF($D$2:$D13, D14))</f>
        <v>1.125</v>
      </c>
      <c r="M15" s="10">
        <f>(SUMIF(Resultados_Apertura!$G$2:$G$154, G14, Resultados_Apertura!$F$2:$F$154) + SUMIF($G$2:$G13, G14, $F$2:$F13)) / (COUNTIF(Resultados_Apertura!$G$2:$G$154, G14) + COUNTIF($G$2:$G13, G14))</f>
        <v>0.44444444444444442</v>
      </c>
      <c r="N15" s="10">
        <f>(SUMIF(Resultados_Apertura!$G$2:$G$154, G14, Resultados_Apertura!$E$2:$E$154) + SUMIF($G$2:$G13, G14, $E$2:$E13)) / (COUNTIF(Resultados_Apertura!$G$2:$G$154, G14) + COUNTIF($G$2:$G13, G14))</f>
        <v>1.3333333333333333</v>
      </c>
      <c r="O15" s="9">
        <f>((K15 * N15) / Formulas!$D$2) * IF(J15&gt;=2000, 1.2, IF(J15&gt;=1000, 1.1, 1))</f>
        <v>1.44</v>
      </c>
      <c r="P15" s="9">
        <f>((M15 * L15) / Formulas!$D$6) * IF(J15&gt;=2000, 0.75, IF(J15&gt;=1000, 0.85, 1))</f>
        <v>0.34615384615384615</v>
      </c>
    </row>
    <row r="16" spans="1:16">
      <c r="A16" t="s">
        <v>94</v>
      </c>
      <c r="B16" s="3">
        <v>46228</v>
      </c>
      <c r="C16" t="s">
        <v>90</v>
      </c>
      <c r="D16" t="s">
        <v>37</v>
      </c>
      <c r="E16">
        <v>2</v>
      </c>
      <c r="F16">
        <v>1</v>
      </c>
      <c r="G16" t="s">
        <v>42</v>
      </c>
      <c r="H16" t="s">
        <v>38</v>
      </c>
      <c r="I16">
        <f>VLOOKUP(D16,Resultados_Apertura!$D$2:$J$154,6,FALSE)</f>
        <v>2335</v>
      </c>
      <c r="J16">
        <f>VLOOKUP(G16,Resultados_Apertura!$G$2:$J$154,4,FALSE)</f>
        <v>150</v>
      </c>
      <c r="K16" s="10">
        <f>(SUMIF(Resultados_Apertura!$D$2:$D$154, D15, Resultados_Apertura!$E$2:$E$154) + SUMIF($D$2:$D14, D15, $E$2:$E14)) / (COUNTIF(Resultados_Apertura!$D$2:$D$154, D15) + COUNTIF($D$2:$D14, D15))</f>
        <v>1.4444444444444444</v>
      </c>
      <c r="L16" s="10">
        <f>(SUMIF(Resultados_Apertura!$D$2:$D$154, D15, Resultados_Apertura!$F$2:$F$154) + SUMIF($D$2:$D14, D15, $F$2:$F14)) / (COUNTIF(Resultados_Apertura!$D$2:$D$154, D15) + COUNTIF($D$2:$D14, D15))</f>
        <v>2.1111111111111112</v>
      </c>
      <c r="M16" s="10">
        <f>(SUMIF(Resultados_Apertura!$G$2:$G$154, G15, Resultados_Apertura!$F$2:$F$154) + SUMIF($G$2:$G14, G15, $F$2:$F14)) / (COUNTIF(Resultados_Apertura!$G$2:$G$154, G15) + COUNTIF($G$2:$G14, G15))</f>
        <v>1.5</v>
      </c>
      <c r="N16" s="10">
        <f>(SUMIF(Resultados_Apertura!$G$2:$G$154, G15, Resultados_Apertura!$E$2:$E$154) + SUMIF($G$2:$G14, G15, $E$2:$E14)) / (COUNTIF(Resultados_Apertura!$G$2:$G$154, G15) + COUNTIF($G$2:$G14, G15))</f>
        <v>1.625</v>
      </c>
      <c r="O16" s="9">
        <f>((K16 * N16) / Formulas!$D$2) * IF(J16&gt;=2000, 1.2, IF(J16&gt;=1000, 1.1, 1))</f>
        <v>1.4083333333333334</v>
      </c>
      <c r="P16" s="9">
        <f>((M16 * L16) / Formulas!$D$6) * IF(J16&gt;=2000, 0.75, IF(J16&gt;=1000, 0.85, 1))</f>
        <v>2.9230769230769234</v>
      </c>
    </row>
    <row r="17" spans="1:16">
      <c r="A17" t="s">
        <v>94</v>
      </c>
      <c r="B17" s="3">
        <v>46229</v>
      </c>
      <c r="C17" t="s">
        <v>91</v>
      </c>
      <c r="D17" t="s">
        <v>44</v>
      </c>
      <c r="E17">
        <v>0</v>
      </c>
      <c r="F17">
        <v>0</v>
      </c>
      <c r="G17" t="s">
        <v>27</v>
      </c>
      <c r="H17" t="s">
        <v>31</v>
      </c>
      <c r="I17">
        <f>VLOOKUP(D17,Resultados_Apertura!$D$2:$J$154,6,FALSE)</f>
        <v>2750</v>
      </c>
      <c r="J17">
        <f>VLOOKUP(G17,Resultados_Apertura!$G$2:$J$154,4,FALSE)</f>
        <v>1410</v>
      </c>
      <c r="K17" s="10">
        <f>(SUMIF(Resultados_Apertura!$D$2:$D$154, D16, Resultados_Apertura!$E$2:$E$154) + SUMIF($D$2:$D15, D16, $E$2:$E15)) / (COUNTIF(Resultados_Apertura!$D$2:$D$154, D16) + COUNTIF($D$2:$D15, D16))</f>
        <v>2.1111111111111112</v>
      </c>
      <c r="L17" s="10">
        <f>(SUMIF(Resultados_Apertura!$D$2:$D$154, D16, Resultados_Apertura!$F$2:$F$154) + SUMIF($D$2:$D15, D16, $F$2:$F15)) / (COUNTIF(Resultados_Apertura!$D$2:$D$154, D16) + COUNTIF($D$2:$D15, D16))</f>
        <v>0.88888888888888884</v>
      </c>
      <c r="M17" s="10">
        <f>(SUMIF(Resultados_Apertura!$G$2:$G$154, G16, Resultados_Apertura!$F$2:$F$154) + SUMIF($G$2:$G15, G16, $F$2:$F15)) / (COUNTIF(Resultados_Apertura!$G$2:$G$154, G16) + COUNTIF($G$2:$G15, G16))</f>
        <v>1.2222222222222223</v>
      </c>
      <c r="N17" s="10">
        <f>(SUMIF(Resultados_Apertura!$G$2:$G$154, G16, Resultados_Apertura!$E$2:$E$154) + SUMIF($G$2:$G15, G16, $E$2:$E15)) / (COUNTIF(Resultados_Apertura!$G$2:$G$154, G16) + COUNTIF($G$2:$G15, G16))</f>
        <v>2</v>
      </c>
      <c r="O17" s="9">
        <f>((K17 * N17) / Formulas!$D$2) * IF(J17&gt;=2000, 1.2, IF(J17&gt;=1000, 1.1, 1))</f>
        <v>2.7866666666666666</v>
      </c>
      <c r="P17" s="9">
        <f>((M17 * L17) / Formulas!$D$6) * IF(J17&gt;=2000, 0.75, IF(J17&gt;=1000, 0.85, 1))</f>
        <v>0.85242165242165246</v>
      </c>
    </row>
    <row r="18" spans="1:16">
      <c r="A18" t="s">
        <v>94</v>
      </c>
      <c r="B18" s="3">
        <v>46229</v>
      </c>
      <c r="C18" t="s">
        <v>91</v>
      </c>
      <c r="D18" t="s">
        <v>19</v>
      </c>
      <c r="E18">
        <v>2</v>
      </c>
      <c r="F18">
        <v>2</v>
      </c>
      <c r="G18" t="s">
        <v>12</v>
      </c>
      <c r="H18" t="s">
        <v>20</v>
      </c>
      <c r="I18">
        <f>VLOOKUP(D18,Resultados_Apertura!$D$2:$J$154,6,FALSE)</f>
        <v>2637</v>
      </c>
      <c r="J18">
        <f>VLOOKUP(G18,Resultados_Apertura!$G$2:$J$154,4,FALSE)</f>
        <v>150</v>
      </c>
      <c r="K18" s="10">
        <f>(SUMIF(Resultados_Apertura!$D$2:$D$154, D17, Resultados_Apertura!$E$2:$E$154) + SUMIF($D$2:$D16, D17, $E$2:$E16)) / (COUNTIF(Resultados_Apertura!$D$2:$D$154, D17) + COUNTIF($D$2:$D16, D17))</f>
        <v>1.125</v>
      </c>
      <c r="L18" s="10">
        <f>(SUMIF(Resultados_Apertura!$D$2:$D$154, D17, Resultados_Apertura!$F$2:$F$154) + SUMIF($D$2:$D16, D17, $F$2:$F16)) / (COUNTIF(Resultados_Apertura!$D$2:$D$154, D17) + COUNTIF($D$2:$D16, D17))</f>
        <v>1</v>
      </c>
      <c r="M18" s="10">
        <f>(SUMIF(Resultados_Apertura!$G$2:$G$154, G17, Resultados_Apertura!$F$2:$F$154) + SUMIF($G$2:$G16, G17, $F$2:$F16)) / (COUNTIF(Resultados_Apertura!$G$2:$G$154, G17) + COUNTIF($G$2:$G16, G17))</f>
        <v>0.44444444444444442</v>
      </c>
      <c r="N18" s="10">
        <f>(SUMIF(Resultados_Apertura!$G$2:$G$154, G17, Resultados_Apertura!$E$2:$E$154) + SUMIF($G$2:$G16, G17, $E$2:$E16)) / (COUNTIF(Resultados_Apertura!$G$2:$G$154, G17) + COUNTIF($G$2:$G16, G17))</f>
        <v>1.6666666666666667</v>
      </c>
      <c r="O18" s="9">
        <f>((K18 * N18) / Formulas!$D$2) * IF(J18&gt;=2000, 1.2, IF(J18&gt;=1000, 1.1, 1))</f>
        <v>1.125</v>
      </c>
      <c r="P18" s="9">
        <f>((M18 * L18) / Formulas!$D$6) * IF(J18&gt;=2000, 0.75, IF(J18&gt;=1000, 0.85, 1))</f>
        <v>0.41025641025641024</v>
      </c>
    </row>
    <row r="19" spans="1:16">
      <c r="A19" t="s">
        <v>94</v>
      </c>
      <c r="B19" s="3">
        <v>46229</v>
      </c>
      <c r="C19" t="s">
        <v>91</v>
      </c>
      <c r="D19" t="s">
        <v>26</v>
      </c>
      <c r="E19">
        <v>2</v>
      </c>
      <c r="F19">
        <v>1</v>
      </c>
      <c r="G19" t="s">
        <v>30</v>
      </c>
      <c r="H19" t="s">
        <v>18</v>
      </c>
      <c r="I19">
        <f>VLOOKUP(D19,Resultados_Apertura!$D$2:$J$154,6,FALSE)</f>
        <v>3399</v>
      </c>
      <c r="J19">
        <f>VLOOKUP(G19,Resultados_Apertura!$G$2:$J$154,4,FALSE)</f>
        <v>2750</v>
      </c>
      <c r="K19" s="10">
        <f>(SUMIF(Resultados_Apertura!$D$2:$D$154, D18, Resultados_Apertura!$E$2:$E$154) + SUMIF($D$2:$D17, D18, $E$2:$E17)) / (COUNTIF(Resultados_Apertura!$D$2:$D$154, D18) + COUNTIF($D$2:$D17, D18))</f>
        <v>1</v>
      </c>
      <c r="L19" s="10">
        <f>(SUMIF(Resultados_Apertura!$D$2:$D$154, D18, Resultados_Apertura!$F$2:$F$154) + SUMIF($D$2:$D17, D18, $F$2:$F17)) / (COUNTIF(Resultados_Apertura!$D$2:$D$154, D18) + COUNTIF($D$2:$D17, D18))</f>
        <v>0.55555555555555558</v>
      </c>
      <c r="M19" s="10">
        <f>(SUMIF(Resultados_Apertura!$G$2:$G$154, G18, Resultados_Apertura!$F$2:$F$154) + SUMIF($G$2:$G17, G18, $F$2:$F17)) / (COUNTIF(Resultados_Apertura!$G$2:$G$154, G18) + COUNTIF($G$2:$G17, G18))</f>
        <v>0.88888888888888884</v>
      </c>
      <c r="N19" s="10">
        <f>(SUMIF(Resultados_Apertura!$G$2:$G$154, G18, Resultados_Apertura!$E$2:$E$154) + SUMIF($G$2:$G17, G18, $E$2:$E17)) / (COUNTIF(Resultados_Apertura!$G$2:$G$154, G18) + COUNTIF($G$2:$G17, G18))</f>
        <v>0.44444444444444442</v>
      </c>
      <c r="O19" s="9">
        <f>((K19 * N19) / Formulas!$D$2) * IF(J19&gt;=2000, 1.2, IF(J19&gt;=1000, 1.1, 1))</f>
        <v>0.32</v>
      </c>
      <c r="P19" s="9">
        <f>((M19 * L19) / Formulas!$D$6) * IF(J19&gt;=2000, 0.75, IF(J19&gt;=1000, 0.85, 1))</f>
        <v>0.34188034188034189</v>
      </c>
    </row>
    <row r="20" spans="1:16">
      <c r="A20" t="s">
        <v>95</v>
      </c>
      <c r="B20" s="3">
        <v>46234</v>
      </c>
      <c r="C20" t="s">
        <v>89</v>
      </c>
      <c r="D20" t="s">
        <v>35</v>
      </c>
      <c r="E20">
        <v>3</v>
      </c>
      <c r="F20">
        <v>2</v>
      </c>
      <c r="G20" t="s">
        <v>19</v>
      </c>
      <c r="H20" t="s">
        <v>36</v>
      </c>
      <c r="I20">
        <f>VLOOKUP(D20,Resultados_Apertura!$D$2:$J$154,6,FALSE)</f>
        <v>2926</v>
      </c>
      <c r="J20">
        <f>VLOOKUP(G20,Resultados_Apertura!$G$2:$J$154,4,FALSE)</f>
        <v>2637</v>
      </c>
      <c r="K20" s="10">
        <f>(SUMIF(Resultados_Apertura!$D$2:$D$154, D19, Resultados_Apertura!$E$2:$E$154) + SUMIF($D$2:$D18, D19, $E$2:$E18)) / (COUNTIF(Resultados_Apertura!$D$2:$D$154, D19) + COUNTIF($D$2:$D18, D19))</f>
        <v>1.8888888888888888</v>
      </c>
      <c r="L20" s="10">
        <f>(SUMIF(Resultados_Apertura!$D$2:$D$154, D19, Resultados_Apertura!$F$2:$F$154) + SUMIF($D$2:$D18, D19, $F$2:$F18)) / (COUNTIF(Resultados_Apertura!$D$2:$D$154, D19) + COUNTIF($D$2:$D18, D19))</f>
        <v>1</v>
      </c>
      <c r="M20" s="10">
        <f>(SUMIF(Resultados_Apertura!$G$2:$G$154, G19, Resultados_Apertura!$F$2:$F$154) + SUMIF($G$2:$G18, G19, $F$2:$F18)) / (COUNTIF(Resultados_Apertura!$G$2:$G$154, G19) + COUNTIF($G$2:$G18, G19))</f>
        <v>0.77777777777777779</v>
      </c>
      <c r="N20" s="10">
        <f>(SUMIF(Resultados_Apertura!$G$2:$G$154, G19, Resultados_Apertura!$E$2:$E$154) + SUMIF($G$2:$G18, G19, $E$2:$E18)) / (COUNTIF(Resultados_Apertura!$G$2:$G$154, G19) + COUNTIF($G$2:$G18, G19))</f>
        <v>1.6666666666666667</v>
      </c>
      <c r="O20" s="9">
        <f>((K20 * N20) / Formulas!$D$2) * IF(J20&gt;=2000, 1.2, IF(J20&gt;=1000, 1.1, 1))</f>
        <v>2.2666666666666666</v>
      </c>
      <c r="P20" s="9">
        <f>((M20 * L20) / Formulas!$D$6) * IF(J20&gt;=2000, 0.75, IF(J20&gt;=1000, 0.85, 1))</f>
        <v>0.53846153846153855</v>
      </c>
    </row>
    <row r="21" spans="1:16">
      <c r="A21" t="s">
        <v>95</v>
      </c>
      <c r="B21" s="3">
        <v>46235</v>
      </c>
      <c r="C21" t="s">
        <v>90</v>
      </c>
      <c r="D21" t="s">
        <v>30</v>
      </c>
      <c r="E21">
        <v>0</v>
      </c>
      <c r="F21">
        <v>2</v>
      </c>
      <c r="G21" t="s">
        <v>24</v>
      </c>
      <c r="H21" t="s">
        <v>31</v>
      </c>
      <c r="I21">
        <f>VLOOKUP(D21,Resultados_Apertura!$D$2:$J$154,6,FALSE)</f>
        <v>2750</v>
      </c>
      <c r="J21">
        <f>VLOOKUP(G21,Resultados_Apertura!$G$2:$J$154,4,FALSE)</f>
        <v>3259</v>
      </c>
      <c r="K21" s="10">
        <f>(SUMIF(Resultados_Apertura!$D$2:$D$154, D20, Resultados_Apertura!$E$2:$E$154) + SUMIF($D$2:$D19, D20, $E$2:$E19)) / (COUNTIF(Resultados_Apertura!$D$2:$D$154, D20) + COUNTIF($D$2:$D19, D20))</f>
        <v>1.7</v>
      </c>
      <c r="L21" s="10">
        <f>(SUMIF(Resultados_Apertura!$D$2:$D$154, D20, Resultados_Apertura!$F$2:$F$154) + SUMIF($D$2:$D19, D20, $F$2:$F19)) / (COUNTIF(Resultados_Apertura!$D$2:$D$154, D20) + COUNTIF($D$2:$D19, D20))</f>
        <v>0.8</v>
      </c>
      <c r="M21" s="10">
        <f>(SUMIF(Resultados_Apertura!$G$2:$G$154, G20, Resultados_Apertura!$F$2:$F$154) + SUMIF($G$2:$G19, G20, $F$2:$F19)) / (COUNTIF(Resultados_Apertura!$G$2:$G$154, G20) + COUNTIF($G$2:$G19, G20))</f>
        <v>1.2222222222222223</v>
      </c>
      <c r="N21" s="10">
        <f>(SUMIF(Resultados_Apertura!$G$2:$G$154, G20, Resultados_Apertura!$E$2:$E$154) + SUMIF($G$2:$G19, G20, $E$2:$E19)) / (COUNTIF(Resultados_Apertura!$G$2:$G$154, G20) + COUNTIF($G$2:$G19, G20))</f>
        <v>1.8888888888888888</v>
      </c>
      <c r="O21" s="9">
        <f>((K21 * N21) / Formulas!$D$2) * IF(J21&gt;=2000, 1.2, IF(J21&gt;=1000, 1.1, 1))</f>
        <v>2.3119999999999994</v>
      </c>
      <c r="P21" s="9">
        <f>((M21 * L21) / Formulas!$D$6) * IF(J21&gt;=2000, 0.75, IF(J21&gt;=1000, 0.85, 1))</f>
        <v>0.67692307692307696</v>
      </c>
    </row>
    <row r="22" spans="1:16">
      <c r="A22" t="s">
        <v>95</v>
      </c>
      <c r="B22" s="3">
        <v>46235</v>
      </c>
      <c r="C22" t="s">
        <v>90</v>
      </c>
      <c r="D22" t="s">
        <v>15</v>
      </c>
      <c r="E22">
        <v>0</v>
      </c>
      <c r="F22">
        <v>1</v>
      </c>
      <c r="G22" t="s">
        <v>39</v>
      </c>
      <c r="H22" t="s">
        <v>10</v>
      </c>
      <c r="I22">
        <f>VLOOKUP(D22,Resultados_Apertura!$D$2:$J$154,6,FALSE)</f>
        <v>29</v>
      </c>
      <c r="J22">
        <f>VLOOKUP(G22,Resultados_Apertura!$G$2:$J$154,4,FALSE)</f>
        <v>5</v>
      </c>
      <c r="K22" s="10">
        <f>(SUMIF(Resultados_Apertura!$D$2:$D$154, D21, Resultados_Apertura!$E$2:$E$154) + SUMIF($D$2:$D20, D21, $E$2:$E20)) / (COUNTIF(Resultados_Apertura!$D$2:$D$154, D21) + COUNTIF($D$2:$D20, D21))</f>
        <v>2</v>
      </c>
      <c r="L22" s="10">
        <f>(SUMIF(Resultados_Apertura!$D$2:$D$154, D21, Resultados_Apertura!$F$2:$F$154) + SUMIF($D$2:$D20, D21, $F$2:$F20)) / (COUNTIF(Resultados_Apertura!$D$2:$D$154, D21) + COUNTIF($D$2:$D20, D21))</f>
        <v>1.6666666666666667</v>
      </c>
      <c r="M22" s="10">
        <f>(SUMIF(Resultados_Apertura!$G$2:$G$154, G21, Resultados_Apertura!$F$2:$F$154) + SUMIF($G$2:$G20, G21, $F$2:$F20)) / (COUNTIF(Resultados_Apertura!$G$2:$G$154, G21) + COUNTIF($G$2:$G20, G21))</f>
        <v>1</v>
      </c>
      <c r="N22" s="10">
        <f>(SUMIF(Resultados_Apertura!$G$2:$G$154, G21, Resultados_Apertura!$E$2:$E$154) + SUMIF($G$2:$G20, G21, $E$2:$E20)) / (COUNTIF(Resultados_Apertura!$G$2:$G$154, G21) + COUNTIF($G$2:$G20, G21))</f>
        <v>2.4</v>
      </c>
      <c r="O22" s="9">
        <f>((K22 * N22) / Formulas!$D$2) * IF(J22&gt;=2000, 1.2, IF(J22&gt;=1000, 1.1, 1))</f>
        <v>2.88</v>
      </c>
      <c r="P22" s="9">
        <f>((M22 * L22) / Formulas!$D$6) * IF(J22&gt;=2000, 0.75, IF(J22&gt;=1000, 0.85, 1))</f>
        <v>1.5384615384615385</v>
      </c>
    </row>
    <row r="23" spans="1:16">
      <c r="A23" t="s">
        <v>95</v>
      </c>
      <c r="B23" s="3">
        <v>46235</v>
      </c>
      <c r="C23" t="s">
        <v>90</v>
      </c>
      <c r="D23" t="s">
        <v>23</v>
      </c>
      <c r="E23">
        <v>4</v>
      </c>
      <c r="F23">
        <v>1</v>
      </c>
      <c r="G23" t="s">
        <v>44</v>
      </c>
      <c r="H23" t="s">
        <v>18</v>
      </c>
      <c r="I23">
        <f>VLOOKUP(D23,Resultados_Apertura!$D$2:$J$154,6,FALSE)</f>
        <v>3399</v>
      </c>
      <c r="J23">
        <f>VLOOKUP(G23,Resultados_Apertura!$G$2:$J$154,4,FALSE)</f>
        <v>2750</v>
      </c>
      <c r="K23" s="10">
        <f>(SUMIF(Resultados_Apertura!$D$2:$D$154, D22, Resultados_Apertura!$E$2:$E$154) + SUMIF($D$2:$D21, D22, $E$2:$E21)) / (COUNTIF(Resultados_Apertura!$D$2:$D$154, D22) + COUNTIF($D$2:$D21, D22))</f>
        <v>1.2222222222222223</v>
      </c>
      <c r="L23" s="10">
        <f>(SUMIF(Resultados_Apertura!$D$2:$D$154, D22, Resultados_Apertura!$F$2:$F$154) + SUMIF($D$2:$D21, D22, $F$2:$F21)) / (COUNTIF(Resultados_Apertura!$D$2:$D$154, D22) + COUNTIF($D$2:$D21, D22))</f>
        <v>0.77777777777777779</v>
      </c>
      <c r="M23" s="10">
        <f>(SUMIF(Resultados_Apertura!$G$2:$G$154, G22, Resultados_Apertura!$F$2:$F$154) + SUMIF($G$2:$G21, G22, $F$2:$F21)) / (COUNTIF(Resultados_Apertura!$G$2:$G$154, G22) + COUNTIF($G$2:$G21, G22))</f>
        <v>0.66666666666666663</v>
      </c>
      <c r="N23" s="10">
        <f>(SUMIF(Resultados_Apertura!$G$2:$G$154, G22, Resultados_Apertura!$E$2:$E$154) + SUMIF($G$2:$G21, G22, $E$2:$E21)) / (COUNTIF(Resultados_Apertura!$G$2:$G$154, G22) + COUNTIF($G$2:$G21, G22))</f>
        <v>1.6666666666666667</v>
      </c>
      <c r="O23" s="9">
        <f>((K23 * N23) / Formulas!$D$2) * IF(J23&gt;=2000, 1.2, IF(J23&gt;=1000, 1.1, 1))</f>
        <v>1.4666666666666668</v>
      </c>
      <c r="P23" s="9">
        <f>((M23 * L23) / Formulas!$D$6) * IF(J23&gt;=2000, 0.75, IF(J23&gt;=1000, 0.85, 1))</f>
        <v>0.35897435897435898</v>
      </c>
    </row>
    <row r="24" spans="1:16">
      <c r="A24" t="s">
        <v>95</v>
      </c>
      <c r="B24" s="3">
        <v>46235</v>
      </c>
      <c r="C24" t="s">
        <v>90</v>
      </c>
      <c r="D24" t="s">
        <v>12</v>
      </c>
      <c r="E24">
        <v>3</v>
      </c>
      <c r="F24">
        <v>1</v>
      </c>
      <c r="G24" t="s">
        <v>9</v>
      </c>
      <c r="H24" t="s">
        <v>13</v>
      </c>
      <c r="I24">
        <f>VLOOKUP(D24,Resultados_Apertura!$D$2:$J$154,6,FALSE)</f>
        <v>150</v>
      </c>
      <c r="J24">
        <f>VLOOKUP(G24,Resultados_Apertura!$G$2:$J$154,4,FALSE)</f>
        <v>60</v>
      </c>
      <c r="K24" s="10">
        <f>(SUMIF(Resultados_Apertura!$D$2:$D$154, D23, Resultados_Apertura!$E$2:$E$154) + SUMIF($D$2:$D22, D23, $E$2:$E22)) / (COUNTIF(Resultados_Apertura!$D$2:$D$154, D23) + COUNTIF($D$2:$D22, D23))</f>
        <v>1.6666666666666667</v>
      </c>
      <c r="L24" s="10">
        <f>(SUMIF(Resultados_Apertura!$D$2:$D$154, D23, Resultados_Apertura!$F$2:$F$154) + SUMIF($D$2:$D22, D23, $F$2:$F22)) / (COUNTIF(Resultados_Apertura!$D$2:$D$154, D23) + COUNTIF($D$2:$D22, D23))</f>
        <v>0.77777777777777779</v>
      </c>
      <c r="M24" s="10">
        <f>(SUMIF(Resultados_Apertura!$G$2:$G$154, G23, Resultados_Apertura!$F$2:$F$154) + SUMIF($G$2:$G22, G23, $F$2:$F22)) / (COUNTIF(Resultados_Apertura!$G$2:$G$154, G23) + COUNTIF($G$2:$G22, G23))</f>
        <v>1.3</v>
      </c>
      <c r="N24" s="10">
        <f>(SUMIF(Resultados_Apertura!$G$2:$G$154, G23, Resultados_Apertura!$E$2:$E$154) + SUMIF($G$2:$G22, G23, $E$2:$E22)) / (COUNTIF(Resultados_Apertura!$G$2:$G$154, G23) + COUNTIF($G$2:$G22, G23))</f>
        <v>2.1</v>
      </c>
      <c r="O24" s="9">
        <f>((K24 * N24) / Formulas!$D$2) * IF(J24&gt;=2000, 1.2, IF(J24&gt;=1000, 1.1, 1))</f>
        <v>2.1</v>
      </c>
      <c r="P24" s="9">
        <f>((M24 * L24) / Formulas!$D$6) * IF(J24&gt;=2000, 0.75, IF(J24&gt;=1000, 0.85, 1))</f>
        <v>0.93333333333333335</v>
      </c>
    </row>
    <row r="25" spans="1:16">
      <c r="A25" t="s">
        <v>95</v>
      </c>
      <c r="B25" s="3">
        <v>46236</v>
      </c>
      <c r="C25" t="s">
        <v>91</v>
      </c>
      <c r="D25" t="s">
        <v>42</v>
      </c>
      <c r="E25">
        <v>2</v>
      </c>
      <c r="F25">
        <v>0</v>
      </c>
      <c r="G25" t="s">
        <v>32</v>
      </c>
      <c r="H25" t="s">
        <v>13</v>
      </c>
      <c r="I25">
        <f>VLOOKUP(D25,Resultados_Apertura!$D$2:$J$154,6,FALSE)</f>
        <v>150</v>
      </c>
      <c r="J25">
        <f>VLOOKUP(G25,Resultados_Apertura!$G$2:$J$154,4,FALSE)</f>
        <v>209</v>
      </c>
      <c r="K25" s="10">
        <f>(SUMIF(Resultados_Apertura!$D$2:$D$154, D24, Resultados_Apertura!$E$2:$E$154) + SUMIF($D$2:$D23, D24, $E$2:$E23)) / (COUNTIF(Resultados_Apertura!$D$2:$D$154, D24) + COUNTIF($D$2:$D23, D24))</f>
        <v>2.6666666666666665</v>
      </c>
      <c r="L25" s="10">
        <f>(SUMIF(Resultados_Apertura!$D$2:$D$154, D24, Resultados_Apertura!$F$2:$F$154) + SUMIF($D$2:$D23, D24, $F$2:$F23)) / (COUNTIF(Resultados_Apertura!$D$2:$D$154, D24) + COUNTIF($D$2:$D23, D24))</f>
        <v>0.55555555555555558</v>
      </c>
      <c r="M25" s="10">
        <f>(SUMIF(Resultados_Apertura!$G$2:$G$154, G24, Resultados_Apertura!$F$2:$F$154) + SUMIF($G$2:$G23, G24, $F$2:$F23)) / (COUNTIF(Resultados_Apertura!$G$2:$G$154, G24) + COUNTIF($G$2:$G23, G24))</f>
        <v>1</v>
      </c>
      <c r="N25" s="10">
        <f>(SUMIF(Resultados_Apertura!$G$2:$G$154, G24, Resultados_Apertura!$E$2:$E$154) + SUMIF($G$2:$G23, G24, $E$2:$E23)) / (COUNTIF(Resultados_Apertura!$G$2:$G$154, G24) + COUNTIF($G$2:$G23, G24))</f>
        <v>1.7</v>
      </c>
      <c r="O25" s="9">
        <f>((K25 * N25) / Formulas!$D$2) * IF(J25&gt;=2000, 1.2, IF(J25&gt;=1000, 1.1, 1))</f>
        <v>2.7199999999999998</v>
      </c>
      <c r="P25" s="9">
        <f>((M25 * L25) / Formulas!$D$6) * IF(J25&gt;=2000, 0.75, IF(J25&gt;=1000, 0.85, 1))</f>
        <v>0.51282051282051289</v>
      </c>
    </row>
    <row r="26" spans="1:16">
      <c r="A26" t="s">
        <v>95</v>
      </c>
      <c r="B26" s="3">
        <v>46236</v>
      </c>
      <c r="C26" t="s">
        <v>91</v>
      </c>
      <c r="D26" t="s">
        <v>5</v>
      </c>
      <c r="E26">
        <v>0</v>
      </c>
      <c r="F26">
        <v>1</v>
      </c>
      <c r="G26" t="s">
        <v>26</v>
      </c>
      <c r="H26" t="s">
        <v>6</v>
      </c>
      <c r="I26">
        <f>VLOOKUP(D26,Resultados_Apertura!$D$2:$J$154,6,FALSE)</f>
        <v>3050</v>
      </c>
      <c r="J26">
        <f>VLOOKUP(G26,Resultados_Apertura!$G$2:$J$154,4,FALSE)</f>
        <v>3399</v>
      </c>
      <c r="K26" s="10">
        <f>(SUMIF(Resultados_Apertura!$D$2:$D$154, D25, Resultados_Apertura!$E$2:$E$154) + SUMIF($D$2:$D24, D25, $E$2:$E24)) / (COUNTIF(Resultados_Apertura!$D$2:$D$154, D25) + COUNTIF($D$2:$D24, D25))</f>
        <v>2</v>
      </c>
      <c r="L26" s="10">
        <f>(SUMIF(Resultados_Apertura!$D$2:$D$154, D25, Resultados_Apertura!$F$2:$F$154) + SUMIF($D$2:$D24, D25, $F$2:$F24)) / (COUNTIF(Resultados_Apertura!$D$2:$D$154, D25) + COUNTIF($D$2:$D24, D25))</f>
        <v>1.3333333333333333</v>
      </c>
      <c r="M26" s="10">
        <f>(SUMIF(Resultados_Apertura!$G$2:$G$154, G25, Resultados_Apertura!$F$2:$F$154) + SUMIF($G$2:$G24, G25, $F$2:$F24)) / (COUNTIF(Resultados_Apertura!$G$2:$G$154, G25) + COUNTIF($G$2:$G24, G25))</f>
        <v>1.2222222222222223</v>
      </c>
      <c r="N26" s="10">
        <f>(SUMIF(Resultados_Apertura!$G$2:$G$154, G25, Resultados_Apertura!$E$2:$E$154) + SUMIF($G$2:$G24, G25, $E$2:$E24)) / (COUNTIF(Resultados_Apertura!$G$2:$G$154, G25) + COUNTIF($G$2:$G24, G25))</f>
        <v>2.5555555555555554</v>
      </c>
      <c r="O26" s="9">
        <f>((K26 * N26) / Formulas!$D$2) * IF(J26&gt;=2000, 1.2, IF(J26&gt;=1000, 1.1, 1))</f>
        <v>3.6799999999999997</v>
      </c>
      <c r="P26" s="9">
        <f>((M26 * L26) / Formulas!$D$6) * IF(J26&gt;=2000, 0.75, IF(J26&gt;=1000, 0.85, 1))</f>
        <v>1.1282051282051284</v>
      </c>
    </row>
    <row r="27" spans="1:16">
      <c r="A27" t="s">
        <v>95</v>
      </c>
      <c r="B27" s="3">
        <v>46236</v>
      </c>
      <c r="C27" t="s">
        <v>91</v>
      </c>
      <c r="D27" t="s">
        <v>27</v>
      </c>
      <c r="E27">
        <v>0</v>
      </c>
      <c r="F27">
        <v>0</v>
      </c>
      <c r="G27" t="s">
        <v>37</v>
      </c>
      <c r="H27" t="s">
        <v>28</v>
      </c>
      <c r="I27">
        <f>VLOOKUP(D27,Resultados_Apertura!$D$2:$J$154,6,FALSE)</f>
        <v>1410</v>
      </c>
      <c r="J27">
        <f>VLOOKUP(G27,Resultados_Apertura!$G$2:$J$154,4,FALSE)</f>
        <v>2335</v>
      </c>
      <c r="K27" s="10">
        <f>(SUMIF(Resultados_Apertura!$D$2:$D$154, D26, Resultados_Apertura!$E$2:$E$154) + SUMIF($D$2:$D25, D26, $E$2:$E25)) / (COUNTIF(Resultados_Apertura!$D$2:$D$154, D26) + COUNTIF($D$2:$D25, D26))</f>
        <v>1.5</v>
      </c>
      <c r="L27" s="10">
        <f>(SUMIF(Resultados_Apertura!$D$2:$D$154, D26, Resultados_Apertura!$F$2:$F$154) + SUMIF($D$2:$D25, D26, $F$2:$F25)) / (COUNTIF(Resultados_Apertura!$D$2:$D$154, D26) + COUNTIF($D$2:$D25, D26))</f>
        <v>1.1000000000000001</v>
      </c>
      <c r="M27" s="10">
        <f>(SUMIF(Resultados_Apertura!$G$2:$G$154, G26, Resultados_Apertura!$F$2:$F$154) + SUMIF($G$2:$G25, G26, $F$2:$F25)) / (COUNTIF(Resultados_Apertura!$G$2:$G$154, G26) + COUNTIF($G$2:$G25, G26))</f>
        <v>0.44444444444444442</v>
      </c>
      <c r="N27" s="10">
        <f>(SUMIF(Resultados_Apertura!$G$2:$G$154, G26, Resultados_Apertura!$E$2:$E$154) + SUMIF($G$2:$G25, G26, $E$2:$E25)) / (COUNTIF(Resultados_Apertura!$G$2:$G$154, G26) + COUNTIF($G$2:$G25, G26))</f>
        <v>1.1111111111111112</v>
      </c>
      <c r="O27" s="9">
        <f>((K27 * N27) / Formulas!$D$2) * IF(J27&gt;=2000, 1.2, IF(J27&gt;=1000, 1.1, 1))</f>
        <v>1.2</v>
      </c>
      <c r="P27" s="9">
        <f>((M27 * L27) / Formulas!$D$6) * IF(J27&gt;=2000, 0.75, IF(J27&gt;=1000, 0.85, 1))</f>
        <v>0.33846153846153848</v>
      </c>
    </row>
    <row r="28" spans="1:16">
      <c r="A28" t="s">
        <v>95</v>
      </c>
      <c r="B28" s="3">
        <v>46236</v>
      </c>
      <c r="C28" t="s">
        <v>91</v>
      </c>
      <c r="D28" t="s">
        <v>17</v>
      </c>
      <c r="E28">
        <v>2</v>
      </c>
      <c r="F28">
        <v>0</v>
      </c>
      <c r="G28" t="s">
        <v>43</v>
      </c>
      <c r="H28" t="s">
        <v>18</v>
      </c>
      <c r="I28">
        <f>VLOOKUP(D28,Resultados_Apertura!$D$2:$J$154,6,FALSE)</f>
        <v>3399</v>
      </c>
      <c r="J28">
        <f>VLOOKUP(G28,Resultados_Apertura!$G$2:$J$154,4,FALSE)</f>
        <v>150</v>
      </c>
      <c r="K28" s="10">
        <f>(SUMIF(Resultados_Apertura!$D$2:$D$154, D27, Resultados_Apertura!$E$2:$E$154) + SUMIF($D$2:$D26, D27, $E$2:$E26)) / (COUNTIF(Resultados_Apertura!$D$2:$D$154, D27) + COUNTIF($D$2:$D26, D27))</f>
        <v>1.6666666666666667</v>
      </c>
      <c r="L28" s="10">
        <f>(SUMIF(Resultados_Apertura!$D$2:$D$154, D27, Resultados_Apertura!$F$2:$F$154) + SUMIF($D$2:$D26, D27, $F$2:$F26)) / (COUNTIF(Resultados_Apertura!$D$2:$D$154, D27) + COUNTIF($D$2:$D26, D27))</f>
        <v>1.2222222222222223</v>
      </c>
      <c r="M28" s="10">
        <f>(SUMIF(Resultados_Apertura!$G$2:$G$154, G27, Resultados_Apertura!$F$2:$F$154) + SUMIF($G$2:$G26, G27, $F$2:$F26)) / (COUNTIF(Resultados_Apertura!$G$2:$G$154, G27) + COUNTIF($G$2:$G26, G27))</f>
        <v>1.4444444444444444</v>
      </c>
      <c r="N28" s="10">
        <f>(SUMIF(Resultados_Apertura!$G$2:$G$154, G27, Resultados_Apertura!$E$2:$E$154) + SUMIF($G$2:$G26, G27, $E$2:$E26)) / (COUNTIF(Resultados_Apertura!$G$2:$G$154, G27) + COUNTIF($G$2:$G26, G27))</f>
        <v>1.4444444444444444</v>
      </c>
      <c r="O28" s="9">
        <f>((K28 * N28) / Formulas!$D$2) * IF(J28&gt;=2000, 1.2, IF(J28&gt;=1000, 1.1, 1))</f>
        <v>1.4444444444444444</v>
      </c>
      <c r="P28" s="9">
        <f>((M28 * L28) / Formulas!$D$6) * IF(J28&gt;=2000, 0.75, IF(J28&gt;=1000, 0.85, 1))</f>
        <v>1.6296296296296298</v>
      </c>
    </row>
    <row r="29" spans="1:16">
      <c r="A29" t="s">
        <v>96</v>
      </c>
      <c r="B29" s="3">
        <v>46240</v>
      </c>
      <c r="C29" t="s">
        <v>144</v>
      </c>
      <c r="D29" t="s">
        <v>9</v>
      </c>
      <c r="E29">
        <v>1</v>
      </c>
      <c r="F29">
        <v>0</v>
      </c>
      <c r="G29" t="s">
        <v>17</v>
      </c>
      <c r="H29" t="s">
        <v>10</v>
      </c>
      <c r="I29">
        <f>VLOOKUP(D29,Resultados_Apertura!$D$2:$J$154,6,FALSE)</f>
        <v>60</v>
      </c>
      <c r="J29">
        <f>VLOOKUP(G29,Resultados_Apertura!$G$2:$J$154,4,FALSE)</f>
        <v>3399</v>
      </c>
      <c r="K29" s="10">
        <f>(SUMIF(Resultados_Apertura!$D$2:$D$154, D28, Resultados_Apertura!$E$2:$E$154) + SUMIF($D$2:$D27, D28, $E$2:$E27)) / (COUNTIF(Resultados_Apertura!$D$2:$D$154, D28) + COUNTIF($D$2:$D27, D28))</f>
        <v>2.2999999999999998</v>
      </c>
      <c r="L29" s="10">
        <f>(SUMIF(Resultados_Apertura!$D$2:$D$154, D28, Resultados_Apertura!$F$2:$F$154) + SUMIF($D$2:$D27, D28, $F$2:$F27)) / (COUNTIF(Resultados_Apertura!$D$2:$D$154, D28) + COUNTIF($D$2:$D27, D28))</f>
        <v>1.2</v>
      </c>
      <c r="M29" s="10">
        <f>(SUMIF(Resultados_Apertura!$G$2:$G$154, G28, Resultados_Apertura!$F$2:$F$154) + SUMIF($G$2:$G27, G28, $F$2:$F27)) / (COUNTIF(Resultados_Apertura!$G$2:$G$154, G28) + COUNTIF($G$2:$G27, G28))</f>
        <v>1.2222222222222223</v>
      </c>
      <c r="N29" s="10">
        <f>(SUMIF(Resultados_Apertura!$G$2:$G$154, G28, Resultados_Apertura!$E$2:$E$154) + SUMIF($G$2:$G27, G28, $E$2:$E27)) / (COUNTIF(Resultados_Apertura!$G$2:$G$154, G28) + COUNTIF($G$2:$G27, G28))</f>
        <v>1.1111111111111112</v>
      </c>
      <c r="O29" s="9">
        <f>((K29 * N29) / Formulas!$D$2) * IF(J29&gt;=2000, 1.2, IF(J29&gt;=1000, 1.1, 1))</f>
        <v>1.8399999999999999</v>
      </c>
      <c r="P29" s="9">
        <f>((M29 * L29) / Formulas!$D$6) * IF(J29&gt;=2000, 0.75, IF(J29&gt;=1000, 0.85, 1))</f>
        <v>1.0153846153846156</v>
      </c>
    </row>
    <row r="30" spans="1:16">
      <c r="A30" t="s">
        <v>96</v>
      </c>
      <c r="B30" s="3">
        <v>46241</v>
      </c>
      <c r="C30" t="s">
        <v>89</v>
      </c>
      <c r="D30" t="s">
        <v>24</v>
      </c>
      <c r="E30">
        <v>1</v>
      </c>
      <c r="F30">
        <v>1</v>
      </c>
      <c r="G30" t="s">
        <v>35</v>
      </c>
      <c r="H30" t="s">
        <v>25</v>
      </c>
      <c r="I30">
        <f>VLOOKUP(D30,Resultados_Apertura!$D$2:$J$154,6,FALSE)</f>
        <v>3259</v>
      </c>
      <c r="J30">
        <f>VLOOKUP(G30,Resultados_Apertura!$G$2:$J$154,4,FALSE)</f>
        <v>2926</v>
      </c>
      <c r="K30" s="10">
        <f>(SUMIF(Resultados_Apertura!$D$2:$D$154, D29, Resultados_Apertura!$E$2:$E$154) + SUMIF($D$2:$D28, D29, $E$2:$E28)) / (COUNTIF(Resultados_Apertura!$D$2:$D$154, D29) + COUNTIF($D$2:$D28, D29))</f>
        <v>1.5555555555555556</v>
      </c>
      <c r="L30" s="10">
        <f>(SUMIF(Resultados_Apertura!$D$2:$D$154, D29, Resultados_Apertura!$F$2:$F$154) + SUMIF($D$2:$D28, D29, $F$2:$F28)) / (COUNTIF(Resultados_Apertura!$D$2:$D$154, D29) + COUNTIF($D$2:$D28, D29))</f>
        <v>0.66666666666666663</v>
      </c>
      <c r="M30" s="10">
        <f>(SUMIF(Resultados_Apertura!$G$2:$G$154, G29, Resultados_Apertura!$F$2:$F$154) + SUMIF($G$2:$G28, G29, $F$2:$F28)) / (COUNTIF(Resultados_Apertura!$G$2:$G$154, G29) + COUNTIF($G$2:$G28, G29))</f>
        <v>1.3333333333333333</v>
      </c>
      <c r="N30" s="10">
        <f>(SUMIF(Resultados_Apertura!$G$2:$G$154, G29, Resultados_Apertura!$E$2:$E$154) + SUMIF($G$2:$G28, G29, $E$2:$E28)) / (COUNTIF(Resultados_Apertura!$G$2:$G$154, G29) + COUNTIF($G$2:$G28, G29))</f>
        <v>1.6666666666666667</v>
      </c>
      <c r="O30" s="9">
        <f>((K30 * N30) / Formulas!$D$2) * IF(J30&gt;=2000, 1.2, IF(J30&gt;=1000, 1.1, 1))</f>
        <v>1.8666666666666663</v>
      </c>
      <c r="P30" s="9">
        <f>((M30 * L30) / Formulas!$D$6) * IF(J30&gt;=2000, 0.75, IF(J30&gt;=1000, 0.85, 1))</f>
        <v>0.61538461538461542</v>
      </c>
    </row>
    <row r="31" spans="1:16">
      <c r="A31" t="s">
        <v>96</v>
      </c>
      <c r="B31" s="3">
        <v>46241</v>
      </c>
      <c r="C31" t="s">
        <v>89</v>
      </c>
      <c r="D31" t="s">
        <v>19</v>
      </c>
      <c r="E31">
        <v>3</v>
      </c>
      <c r="F31">
        <v>1</v>
      </c>
      <c r="G31" t="s">
        <v>23</v>
      </c>
      <c r="H31" t="s">
        <v>20</v>
      </c>
      <c r="I31">
        <f>VLOOKUP(D31,Resultados_Apertura!$D$2:$J$154,6,FALSE)</f>
        <v>2637</v>
      </c>
      <c r="J31">
        <f>VLOOKUP(G31,Resultados_Apertura!$G$2:$J$154,4,FALSE)</f>
        <v>3399</v>
      </c>
      <c r="K31" s="10">
        <f>(SUMIF(Resultados_Apertura!$D$2:$D$154, D30, Resultados_Apertura!$E$2:$E$154) + SUMIF($D$2:$D29, D30, $E$2:$E29)) / (COUNTIF(Resultados_Apertura!$D$2:$D$154, D30) + COUNTIF($D$2:$D29, D30))</f>
        <v>1.5555555555555556</v>
      </c>
      <c r="L31" s="10">
        <f>(SUMIF(Resultados_Apertura!$D$2:$D$154, D30, Resultados_Apertura!$F$2:$F$154) + SUMIF($D$2:$D29, D30, $F$2:$F29)) / (COUNTIF(Resultados_Apertura!$D$2:$D$154, D30) + COUNTIF($D$2:$D29, D30))</f>
        <v>1</v>
      </c>
      <c r="M31" s="10">
        <f>(SUMIF(Resultados_Apertura!$G$2:$G$154, G30, Resultados_Apertura!$F$2:$F$154) + SUMIF($G$2:$G29, G30, $F$2:$F29)) / (COUNTIF(Resultados_Apertura!$G$2:$G$154, G30) + COUNTIF($G$2:$G29, G30))</f>
        <v>1.1111111111111112</v>
      </c>
      <c r="N31" s="10">
        <f>(SUMIF(Resultados_Apertura!$G$2:$G$154, G30, Resultados_Apertura!$E$2:$E$154) + SUMIF($G$2:$G29, G30, $E$2:$E29)) / (COUNTIF(Resultados_Apertura!$G$2:$G$154, G30) + COUNTIF($G$2:$G29, G30))</f>
        <v>1.7777777777777777</v>
      </c>
      <c r="O31" s="9">
        <f>((K31 * N31) / Formulas!$D$2) * IF(J31&gt;=2000, 1.2, IF(J31&gt;=1000, 1.1, 1))</f>
        <v>1.9911111111111106</v>
      </c>
      <c r="P31" s="9">
        <f>((M31 * L31) / Formulas!$D$6) * IF(J31&gt;=2000, 0.75, IF(J31&gt;=1000, 0.85, 1))</f>
        <v>0.76923076923076938</v>
      </c>
    </row>
    <row r="32" spans="1:16">
      <c r="A32" t="s">
        <v>96</v>
      </c>
      <c r="B32" s="3">
        <v>46241</v>
      </c>
      <c r="C32" t="s">
        <v>89</v>
      </c>
      <c r="D32" t="s">
        <v>43</v>
      </c>
      <c r="E32">
        <v>1</v>
      </c>
      <c r="F32">
        <v>1</v>
      </c>
      <c r="G32" t="s">
        <v>42</v>
      </c>
      <c r="H32" t="s">
        <v>13</v>
      </c>
      <c r="I32">
        <f>VLOOKUP(D32,Resultados_Apertura!$D$2:$J$154,6,FALSE)</f>
        <v>150</v>
      </c>
      <c r="J32">
        <f>VLOOKUP(G32,Resultados_Apertura!$G$2:$J$154,4,FALSE)</f>
        <v>150</v>
      </c>
      <c r="K32" s="10">
        <f>(SUMIF(Resultados_Apertura!$D$2:$D$154, D31, Resultados_Apertura!$E$2:$E$154) + SUMIF($D$2:$D30, D31, $E$2:$E30)) / (COUNTIF(Resultados_Apertura!$D$2:$D$154, D31) + COUNTIF($D$2:$D30, D31))</f>
        <v>1.1000000000000001</v>
      </c>
      <c r="L32" s="10">
        <f>(SUMIF(Resultados_Apertura!$D$2:$D$154, D31, Resultados_Apertura!$F$2:$F$154) + SUMIF($D$2:$D30, D31, $F$2:$F30)) / (COUNTIF(Resultados_Apertura!$D$2:$D$154, D31) + COUNTIF($D$2:$D30, D31))</f>
        <v>0.7</v>
      </c>
      <c r="M32" s="10">
        <f>(SUMIF(Resultados_Apertura!$G$2:$G$154, G31, Resultados_Apertura!$F$2:$F$154) + SUMIF($G$2:$G30, G31, $F$2:$F30)) / (COUNTIF(Resultados_Apertura!$G$2:$G$154, G31) + COUNTIF($G$2:$G30, G31))</f>
        <v>1.1000000000000001</v>
      </c>
      <c r="N32" s="10">
        <f>(SUMIF(Resultados_Apertura!$G$2:$G$154, G31, Resultados_Apertura!$E$2:$E$154) + SUMIF($G$2:$G30, G31, $E$2:$E30)) / (COUNTIF(Resultados_Apertura!$G$2:$G$154, G31) + COUNTIF($G$2:$G30, G31))</f>
        <v>2</v>
      </c>
      <c r="O32" s="9">
        <f>((K32 * N32) / Formulas!$D$2) * IF(J32&gt;=2000, 1.2, IF(J32&gt;=1000, 1.1, 1))</f>
        <v>1.32</v>
      </c>
      <c r="P32" s="9">
        <f>((M32 * L32) / Formulas!$D$6) * IF(J32&gt;=2000, 0.75, IF(J32&gt;=1000, 0.85, 1))</f>
        <v>0.71076923076923082</v>
      </c>
    </row>
    <row r="33" spans="1:16">
      <c r="A33" t="s">
        <v>96</v>
      </c>
      <c r="B33" s="3">
        <v>46242</v>
      </c>
      <c r="C33" t="s">
        <v>90</v>
      </c>
      <c r="D33" t="s">
        <v>44</v>
      </c>
      <c r="E33">
        <v>1</v>
      </c>
      <c r="F33">
        <v>1</v>
      </c>
      <c r="G33" t="s">
        <v>5</v>
      </c>
      <c r="H33" t="s">
        <v>31</v>
      </c>
      <c r="I33">
        <f>VLOOKUP(D33,Resultados_Apertura!$D$2:$J$154,6,FALSE)</f>
        <v>2750</v>
      </c>
      <c r="J33">
        <f>VLOOKUP(G33,Resultados_Apertura!$G$2:$J$154,4,FALSE)</f>
        <v>3050</v>
      </c>
      <c r="K33" s="10">
        <f>(SUMIF(Resultados_Apertura!$D$2:$D$154, D32, Resultados_Apertura!$E$2:$E$154) + SUMIF($D$2:$D31, D32, $E$2:$E31)) / (COUNTIF(Resultados_Apertura!$D$2:$D$154, D32) + COUNTIF($D$2:$D31, D32))</f>
        <v>1.7</v>
      </c>
      <c r="L33" s="10">
        <f>(SUMIF(Resultados_Apertura!$D$2:$D$154, D32, Resultados_Apertura!$F$2:$F$154) + SUMIF($D$2:$D31, D32, $F$2:$F31)) / (COUNTIF(Resultados_Apertura!$D$2:$D$154, D32) + COUNTIF($D$2:$D31, D32))</f>
        <v>0.7</v>
      </c>
      <c r="M33" s="10">
        <f>(SUMIF(Resultados_Apertura!$G$2:$G$154, G32, Resultados_Apertura!$F$2:$F$154) + SUMIF($G$2:$G31, G32, $F$2:$F31)) / (COUNTIF(Resultados_Apertura!$G$2:$G$154, G32) + COUNTIF($G$2:$G31, G32))</f>
        <v>1.2</v>
      </c>
      <c r="N33" s="10">
        <f>(SUMIF(Resultados_Apertura!$G$2:$G$154, G32, Resultados_Apertura!$E$2:$E$154) + SUMIF($G$2:$G31, G32, $E$2:$E31)) / (COUNTIF(Resultados_Apertura!$G$2:$G$154, G32) + COUNTIF($G$2:$G31, G32))</f>
        <v>2</v>
      </c>
      <c r="O33" s="9">
        <f>((K33 * N33) / Formulas!$D$2) * IF(J33&gt;=2000, 1.2, IF(J33&gt;=1000, 1.1, 1))</f>
        <v>2.448</v>
      </c>
      <c r="P33" s="9">
        <f>((M33 * L33) / Formulas!$D$6) * IF(J33&gt;=2000, 0.75, IF(J33&gt;=1000, 0.85, 1))</f>
        <v>0.58153846153846156</v>
      </c>
    </row>
    <row r="34" spans="1:16">
      <c r="A34" t="s">
        <v>96</v>
      </c>
      <c r="B34" s="3">
        <v>46242</v>
      </c>
      <c r="C34" t="s">
        <v>90</v>
      </c>
      <c r="D34" t="s">
        <v>32</v>
      </c>
      <c r="E34">
        <v>0</v>
      </c>
      <c r="F34">
        <v>0</v>
      </c>
      <c r="G34" t="s">
        <v>15</v>
      </c>
      <c r="H34" t="s">
        <v>33</v>
      </c>
      <c r="I34">
        <f>VLOOKUP(D34,Resultados_Apertura!$D$2:$J$154,6,FALSE)</f>
        <v>209</v>
      </c>
      <c r="J34">
        <f>VLOOKUP(G34,Resultados_Apertura!$G$2:$J$154,4,FALSE)</f>
        <v>29</v>
      </c>
      <c r="K34" s="10">
        <f>(SUMIF(Resultados_Apertura!$D$2:$D$154, D33, Resultados_Apertura!$E$2:$E$154) + SUMIF($D$2:$D32, D33, $E$2:$E32)) / (COUNTIF(Resultados_Apertura!$D$2:$D$154, D33) + COUNTIF($D$2:$D32, D33))</f>
        <v>1</v>
      </c>
      <c r="L34" s="10">
        <f>(SUMIF(Resultados_Apertura!$D$2:$D$154, D33, Resultados_Apertura!$F$2:$F$154) + SUMIF($D$2:$D32, D33, $F$2:$F32)) / (COUNTIF(Resultados_Apertura!$D$2:$D$154, D33) + COUNTIF($D$2:$D32, D33))</f>
        <v>0.88888888888888884</v>
      </c>
      <c r="M34" s="10">
        <f>(SUMIF(Resultados_Apertura!$G$2:$G$154, G33, Resultados_Apertura!$F$2:$F$154) + SUMIF($G$2:$G32, G33, $F$2:$F32)) / (COUNTIF(Resultados_Apertura!$G$2:$G$154, G33) + COUNTIF($G$2:$G32, G33))</f>
        <v>0.88888888888888884</v>
      </c>
      <c r="N34" s="10">
        <f>(SUMIF(Resultados_Apertura!$G$2:$G$154, G33, Resultados_Apertura!$E$2:$E$154) + SUMIF($G$2:$G32, G33, $E$2:$E32)) / (COUNTIF(Resultados_Apertura!$G$2:$G$154, G33) + COUNTIF($G$2:$G32, G33))</f>
        <v>1.5555555555555556</v>
      </c>
      <c r="O34" s="9">
        <f>((K34 * N34) / Formulas!$D$2) * IF(J34&gt;=2000, 1.2, IF(J34&gt;=1000, 1.1, 1))</f>
        <v>0.93333333333333335</v>
      </c>
      <c r="P34" s="9">
        <f>((M34 * L34) / Formulas!$D$6) * IF(J34&gt;=2000, 0.75, IF(J34&gt;=1000, 0.85, 1))</f>
        <v>0.72934472934472938</v>
      </c>
    </row>
    <row r="35" spans="1:16">
      <c r="A35" t="s">
        <v>96</v>
      </c>
      <c r="B35" s="3">
        <v>46242</v>
      </c>
      <c r="C35" t="s">
        <v>90</v>
      </c>
      <c r="D35" t="s">
        <v>39</v>
      </c>
      <c r="E35">
        <v>1</v>
      </c>
      <c r="F35">
        <v>1</v>
      </c>
      <c r="G35" t="s">
        <v>12</v>
      </c>
      <c r="H35" t="s">
        <v>40</v>
      </c>
      <c r="I35">
        <f>VLOOKUP(D35,Resultados_Apertura!$D$2:$J$154,6,FALSE)</f>
        <v>5</v>
      </c>
      <c r="J35">
        <f>VLOOKUP(G35,Resultados_Apertura!$G$2:$J$154,4,FALSE)</f>
        <v>150</v>
      </c>
      <c r="K35" s="10">
        <f>(SUMIF(Resultados_Apertura!$D$2:$D$154, D34, Resultados_Apertura!$E$2:$E$154) + SUMIF($D$2:$D33, D34, $E$2:$E33)) / (COUNTIF(Resultados_Apertura!$D$2:$D$154, D34) + COUNTIF($D$2:$D33, D34))</f>
        <v>1.5</v>
      </c>
      <c r="L35" s="10">
        <f>(SUMIF(Resultados_Apertura!$D$2:$D$154, D34, Resultados_Apertura!$F$2:$F$154) + SUMIF($D$2:$D33, D34, $F$2:$F33)) / (COUNTIF(Resultados_Apertura!$D$2:$D$154, D34) + COUNTIF($D$2:$D33, D34))</f>
        <v>1.9</v>
      </c>
      <c r="M35" s="10">
        <f>(SUMIF(Resultados_Apertura!$G$2:$G$154, G34, Resultados_Apertura!$F$2:$F$154) + SUMIF($G$2:$G33, G34, $F$2:$F33)) / (COUNTIF(Resultados_Apertura!$G$2:$G$154, G34) + COUNTIF($G$2:$G33, G34))</f>
        <v>0.4</v>
      </c>
      <c r="N35" s="10">
        <f>(SUMIF(Resultados_Apertura!$G$2:$G$154, G34, Resultados_Apertura!$E$2:$E$154) + SUMIF($G$2:$G33, G34, $E$2:$E33)) / (COUNTIF(Resultados_Apertura!$G$2:$G$154, G34) + COUNTIF($G$2:$G33, G34))</f>
        <v>1.4</v>
      </c>
      <c r="O35" s="9">
        <f>((K35 * N35) / Formulas!$D$2) * IF(J35&gt;=2000, 1.2, IF(J35&gt;=1000, 1.1, 1))</f>
        <v>1.2599999999999998</v>
      </c>
      <c r="P35" s="9">
        <f>((M35 * L35) / Formulas!$D$6) * IF(J35&gt;=2000, 0.75, IF(J35&gt;=1000, 0.85, 1))</f>
        <v>0.70153846153846156</v>
      </c>
    </row>
    <row r="36" spans="1:16">
      <c r="A36" t="s">
        <v>96</v>
      </c>
      <c r="B36" s="3">
        <v>46243</v>
      </c>
      <c r="C36" t="s">
        <v>91</v>
      </c>
      <c r="D36" t="s">
        <v>26</v>
      </c>
      <c r="E36">
        <v>2</v>
      </c>
      <c r="F36">
        <v>0</v>
      </c>
      <c r="G36" t="s">
        <v>27</v>
      </c>
      <c r="H36" t="s">
        <v>18</v>
      </c>
      <c r="I36">
        <f>VLOOKUP(D36,Resultados_Apertura!$D$2:$J$154,6,FALSE)</f>
        <v>3399</v>
      </c>
      <c r="J36">
        <f>VLOOKUP(G36,Resultados_Apertura!$G$2:$J$154,4,FALSE)</f>
        <v>1410</v>
      </c>
      <c r="K36" s="10">
        <f>(SUMIF(Resultados_Apertura!$D$2:$D$154, D35, Resultados_Apertura!$E$2:$E$154) + SUMIF($D$2:$D34, D35, $E$2:$E34)) / (COUNTIF(Resultados_Apertura!$D$2:$D$154, D35) + COUNTIF($D$2:$D34, D35))</f>
        <v>1.1000000000000001</v>
      </c>
      <c r="L36" s="10">
        <f>(SUMIF(Resultados_Apertura!$D$2:$D$154, D35, Resultados_Apertura!$F$2:$F$154) + SUMIF($D$2:$D34, D35, $F$2:$F34)) / (COUNTIF(Resultados_Apertura!$D$2:$D$154, D35) + COUNTIF($D$2:$D34, D35))</f>
        <v>0.5</v>
      </c>
      <c r="M36" s="10">
        <f>(SUMIF(Resultados_Apertura!$G$2:$G$154, G35, Resultados_Apertura!$F$2:$F$154) + SUMIF($G$2:$G34, G35, $F$2:$F34)) / (COUNTIF(Resultados_Apertura!$G$2:$G$154, G35) + COUNTIF($G$2:$G34, G35))</f>
        <v>1</v>
      </c>
      <c r="N36" s="10">
        <f>(SUMIF(Resultados_Apertura!$G$2:$G$154, G35, Resultados_Apertura!$E$2:$E$154) + SUMIF($G$2:$G34, G35, $E$2:$E34)) / (COUNTIF(Resultados_Apertura!$G$2:$G$154, G35) + COUNTIF($G$2:$G34, G35))</f>
        <v>0.6</v>
      </c>
      <c r="O36" s="9">
        <f>((K36 * N36) / Formulas!$D$2) * IF(J36&gt;=2000, 1.2, IF(J36&gt;=1000, 1.1, 1))</f>
        <v>0.43560000000000004</v>
      </c>
      <c r="P36" s="9">
        <f>((M36 * L36) / Formulas!$D$6) * IF(J36&gt;=2000, 0.75, IF(J36&gt;=1000, 0.85, 1))</f>
        <v>0.3923076923076923</v>
      </c>
    </row>
    <row r="37" spans="1:16">
      <c r="A37" t="s">
        <v>96</v>
      </c>
      <c r="B37" s="3">
        <v>46243</v>
      </c>
      <c r="C37" t="s">
        <v>91</v>
      </c>
      <c r="D37" t="s">
        <v>37</v>
      </c>
      <c r="E37">
        <v>2</v>
      </c>
      <c r="F37">
        <v>4</v>
      </c>
      <c r="G37" t="s">
        <v>30</v>
      </c>
      <c r="H37" t="s">
        <v>38</v>
      </c>
      <c r="I37">
        <f>VLOOKUP(D37,Resultados_Apertura!$D$2:$J$154,6,FALSE)</f>
        <v>2335</v>
      </c>
      <c r="J37">
        <f>VLOOKUP(G37,Resultados_Apertura!$G$2:$J$154,4,FALSE)</f>
        <v>2750</v>
      </c>
      <c r="K37" s="10">
        <f>(SUMIF(Resultados_Apertura!$D$2:$D$154, D36, Resultados_Apertura!$E$2:$E$154) + SUMIF($D$2:$D35, D36, $E$2:$E35)) / (COUNTIF(Resultados_Apertura!$D$2:$D$154, D36) + COUNTIF($D$2:$D35, D36))</f>
        <v>1.9</v>
      </c>
      <c r="L37" s="10">
        <f>(SUMIF(Resultados_Apertura!$D$2:$D$154, D36, Resultados_Apertura!$F$2:$F$154) + SUMIF($D$2:$D35, D36, $F$2:$F35)) / (COUNTIF(Resultados_Apertura!$D$2:$D$154, D36) + COUNTIF($D$2:$D35, D36))</f>
        <v>1</v>
      </c>
      <c r="M37" s="10">
        <f>(SUMIF(Resultados_Apertura!$G$2:$G$154, G36, Resultados_Apertura!$F$2:$F$154) + SUMIF($G$2:$G35, G36, $F$2:$F35)) / (COUNTIF(Resultados_Apertura!$G$2:$G$154, G36) + COUNTIF($G$2:$G35, G36))</f>
        <v>0.4</v>
      </c>
      <c r="N37" s="10">
        <f>(SUMIF(Resultados_Apertura!$G$2:$G$154, G36, Resultados_Apertura!$E$2:$E$154) + SUMIF($G$2:$G35, G36, $E$2:$E35)) / (COUNTIF(Resultados_Apertura!$G$2:$G$154, G36) + COUNTIF($G$2:$G35, G36))</f>
        <v>1.5</v>
      </c>
      <c r="O37" s="9">
        <f>((K37 * N37) / Formulas!$D$2) * IF(J37&gt;=2000, 1.2, IF(J37&gt;=1000, 1.1, 1))</f>
        <v>2.0519999999999996</v>
      </c>
      <c r="P37" s="9">
        <f>((M37 * L37) / Formulas!$D$6) * IF(J37&gt;=2000, 0.75, IF(J37&gt;=1000, 0.85, 1))</f>
        <v>0.27692307692307694</v>
      </c>
    </row>
    <row r="38" spans="1:16">
      <c r="A38" t="s">
        <v>97</v>
      </c>
      <c r="B38" s="3">
        <v>46248</v>
      </c>
      <c r="C38" t="s">
        <v>89</v>
      </c>
      <c r="D38" t="s">
        <v>15</v>
      </c>
      <c r="E38">
        <v>1</v>
      </c>
      <c r="F38">
        <v>0</v>
      </c>
      <c r="G38" t="s">
        <v>19</v>
      </c>
      <c r="H38" t="s">
        <v>10</v>
      </c>
      <c r="I38">
        <f>VLOOKUP(D38,Resultados_Apertura!$D$2:$J$154,6,FALSE)</f>
        <v>29</v>
      </c>
      <c r="J38">
        <f>VLOOKUP(G38,Resultados_Apertura!$G$2:$J$154,4,FALSE)</f>
        <v>2637</v>
      </c>
      <c r="K38" s="10">
        <f>(SUMIF(Resultados_Apertura!$D$2:$D$154, D37, Resultados_Apertura!$E$2:$E$154) + SUMIF($D$2:$D36, D37, $E$2:$E36)) / (COUNTIF(Resultados_Apertura!$D$2:$D$154, D37) + COUNTIF($D$2:$D36, D37))</f>
        <v>2.1</v>
      </c>
      <c r="L38" s="10">
        <f>(SUMIF(Resultados_Apertura!$D$2:$D$154, D37, Resultados_Apertura!$F$2:$F$154) + SUMIF($D$2:$D36, D37, $F$2:$F36)) / (COUNTIF(Resultados_Apertura!$D$2:$D$154, D37) + COUNTIF($D$2:$D36, D37))</f>
        <v>0.9</v>
      </c>
      <c r="M38" s="10">
        <f>(SUMIF(Resultados_Apertura!$G$2:$G$154, G37, Resultados_Apertura!$F$2:$F$154) + SUMIF($G$2:$G36, G37, $F$2:$F36)) / (COUNTIF(Resultados_Apertura!$G$2:$G$154, G37) + COUNTIF($G$2:$G36, G37))</f>
        <v>0.8</v>
      </c>
      <c r="N38" s="10">
        <f>(SUMIF(Resultados_Apertura!$G$2:$G$154, G37, Resultados_Apertura!$E$2:$E$154) + SUMIF($G$2:$G36, G37, $E$2:$E36)) / (COUNTIF(Resultados_Apertura!$G$2:$G$154, G37) + COUNTIF($G$2:$G36, G37))</f>
        <v>1.7</v>
      </c>
      <c r="O38" s="9">
        <f>((K38 * N38) / Formulas!$D$2) * IF(J38&gt;=2000, 1.2, IF(J38&gt;=1000, 1.1, 1))</f>
        <v>2.5703999999999998</v>
      </c>
      <c r="P38" s="9">
        <f>((M38 * L38) / Formulas!$D$6) * IF(J38&gt;=2000, 0.75, IF(J38&gt;=1000, 0.85, 1))</f>
        <v>0.49846153846153851</v>
      </c>
    </row>
    <row r="39" spans="1:16">
      <c r="A39" t="s">
        <v>97</v>
      </c>
      <c r="B39" s="3">
        <v>46248</v>
      </c>
      <c r="C39" t="s">
        <v>89</v>
      </c>
      <c r="D39" t="s">
        <v>23</v>
      </c>
      <c r="E39">
        <v>2</v>
      </c>
      <c r="F39">
        <v>0</v>
      </c>
      <c r="G39" t="s">
        <v>32</v>
      </c>
      <c r="H39" t="s">
        <v>18</v>
      </c>
      <c r="I39">
        <f>VLOOKUP(D39,Resultados_Apertura!$D$2:$J$154,6,FALSE)</f>
        <v>3399</v>
      </c>
      <c r="J39">
        <f>VLOOKUP(G39,Resultados_Apertura!$G$2:$J$154,4,FALSE)</f>
        <v>209</v>
      </c>
      <c r="K39" s="10">
        <f>(SUMIF(Resultados_Apertura!$D$2:$D$154, D38, Resultados_Apertura!$E$2:$E$154) + SUMIF($D$2:$D37, D38, $E$2:$E37)) / (COUNTIF(Resultados_Apertura!$D$2:$D$154, D38) + COUNTIF($D$2:$D37, D38))</f>
        <v>1.1000000000000001</v>
      </c>
      <c r="L39" s="10">
        <f>(SUMIF(Resultados_Apertura!$D$2:$D$154, D38, Resultados_Apertura!$F$2:$F$154) + SUMIF($D$2:$D37, D38, $F$2:$F37)) / (COUNTIF(Resultados_Apertura!$D$2:$D$154, D38) + COUNTIF($D$2:$D37, D38))</f>
        <v>0.8</v>
      </c>
      <c r="M39" s="10">
        <f>(SUMIF(Resultados_Apertura!$G$2:$G$154, G38, Resultados_Apertura!$F$2:$F$154) + SUMIF($G$2:$G37, G38, $F$2:$F37)) / (COUNTIF(Resultados_Apertura!$G$2:$G$154, G38) + COUNTIF($G$2:$G37, G38))</f>
        <v>1.3</v>
      </c>
      <c r="N39" s="10">
        <f>(SUMIF(Resultados_Apertura!$G$2:$G$154, G38, Resultados_Apertura!$E$2:$E$154) + SUMIF($G$2:$G37, G38, $E$2:$E37)) / (COUNTIF(Resultados_Apertura!$G$2:$G$154, G38) + COUNTIF($G$2:$G37, G38))</f>
        <v>2</v>
      </c>
      <c r="O39" s="9">
        <f>((K39 * N39) / Formulas!$D$2) * IF(J39&gt;=2000, 1.2, IF(J39&gt;=1000, 1.1, 1))</f>
        <v>1.32</v>
      </c>
      <c r="P39" s="9">
        <f>((M39 * L39) / Formulas!$D$6) * IF(J39&gt;=2000, 0.75, IF(J39&gt;=1000, 0.85, 1))</f>
        <v>0.96000000000000008</v>
      </c>
    </row>
    <row r="40" spans="1:16">
      <c r="A40" t="s">
        <v>97</v>
      </c>
      <c r="B40" s="3">
        <v>46249</v>
      </c>
      <c r="C40" t="s">
        <v>90</v>
      </c>
      <c r="D40" t="s">
        <v>5</v>
      </c>
      <c r="E40">
        <v>1</v>
      </c>
      <c r="F40">
        <v>1</v>
      </c>
      <c r="G40" t="s">
        <v>9</v>
      </c>
      <c r="H40" t="s">
        <v>6</v>
      </c>
      <c r="I40">
        <f>VLOOKUP(D40,Resultados_Apertura!$D$2:$J$154,6,FALSE)</f>
        <v>3050</v>
      </c>
      <c r="J40">
        <f>VLOOKUP(G40,Resultados_Apertura!$G$2:$J$154,4,FALSE)</f>
        <v>60</v>
      </c>
      <c r="K40" s="10">
        <f>(SUMIF(Resultados_Apertura!$D$2:$D$154, D39, Resultados_Apertura!$E$2:$E$154) + SUMIF($D$2:$D38, D39, $E$2:$E38)) / (COUNTIF(Resultados_Apertura!$D$2:$D$154, D39) + COUNTIF($D$2:$D38, D39))</f>
        <v>1.9</v>
      </c>
      <c r="L40" s="10">
        <f>(SUMIF(Resultados_Apertura!$D$2:$D$154, D39, Resultados_Apertura!$F$2:$F$154) + SUMIF($D$2:$D38, D39, $F$2:$F38)) / (COUNTIF(Resultados_Apertura!$D$2:$D$154, D39) + COUNTIF($D$2:$D38, D39))</f>
        <v>0.8</v>
      </c>
      <c r="M40" s="10">
        <f>(SUMIF(Resultados_Apertura!$G$2:$G$154, G39, Resultados_Apertura!$F$2:$F$154) + SUMIF($G$2:$G38, G39, $F$2:$F38)) / (COUNTIF(Resultados_Apertura!$G$2:$G$154, G39) + COUNTIF($G$2:$G38, G39))</f>
        <v>1.1000000000000001</v>
      </c>
      <c r="N40" s="10">
        <f>(SUMIF(Resultados_Apertura!$G$2:$G$154, G39, Resultados_Apertura!$E$2:$E$154) + SUMIF($G$2:$G38, G39, $E$2:$E38)) / (COUNTIF(Resultados_Apertura!$G$2:$G$154, G39) + COUNTIF($G$2:$G38, G39))</f>
        <v>2.5</v>
      </c>
      <c r="O40" s="9">
        <f>((K40 * N40) / Formulas!$D$2) * IF(J40&gt;=2000, 1.2, IF(J40&gt;=1000, 1.1, 1))</f>
        <v>2.85</v>
      </c>
      <c r="P40" s="9">
        <f>((M40 * L40) / Formulas!$D$6) * IF(J40&gt;=2000, 0.75, IF(J40&gt;=1000, 0.85, 1))</f>
        <v>0.81230769230769251</v>
      </c>
    </row>
    <row r="41" spans="1:16">
      <c r="A41" t="s">
        <v>97</v>
      </c>
      <c r="B41" s="3">
        <v>46249</v>
      </c>
      <c r="C41" t="s">
        <v>90</v>
      </c>
      <c r="D41" t="s">
        <v>35</v>
      </c>
      <c r="E41">
        <v>0</v>
      </c>
      <c r="F41">
        <v>3</v>
      </c>
      <c r="G41" t="s">
        <v>37</v>
      </c>
      <c r="H41" t="s">
        <v>36</v>
      </c>
      <c r="I41">
        <f>VLOOKUP(D41,Resultados_Apertura!$D$2:$J$154,6,FALSE)</f>
        <v>2926</v>
      </c>
      <c r="J41">
        <f>VLOOKUP(G41,Resultados_Apertura!$G$2:$J$154,4,FALSE)</f>
        <v>2335</v>
      </c>
      <c r="K41" s="10">
        <f>(SUMIF(Resultados_Apertura!$D$2:$D$154, D40, Resultados_Apertura!$E$2:$E$154) + SUMIF($D$2:$D39, D40, $E$2:$E39)) / (COUNTIF(Resultados_Apertura!$D$2:$D$154, D40) + COUNTIF($D$2:$D39, D40))</f>
        <v>1.3636363636363635</v>
      </c>
      <c r="L41" s="10">
        <f>(SUMIF(Resultados_Apertura!$D$2:$D$154, D40, Resultados_Apertura!$F$2:$F$154) + SUMIF($D$2:$D39, D40, $F$2:$F39)) / (COUNTIF(Resultados_Apertura!$D$2:$D$154, D40) + COUNTIF($D$2:$D39, D40))</f>
        <v>1.0909090909090908</v>
      </c>
      <c r="M41" s="10">
        <f>(SUMIF(Resultados_Apertura!$G$2:$G$154, G40, Resultados_Apertura!$F$2:$F$154) + SUMIF($G$2:$G39, G40, $F$2:$F39)) / (COUNTIF(Resultados_Apertura!$G$2:$G$154, G40) + COUNTIF($G$2:$G39, G40))</f>
        <v>1</v>
      </c>
      <c r="N41" s="10">
        <f>(SUMIF(Resultados_Apertura!$G$2:$G$154, G40, Resultados_Apertura!$E$2:$E$154) + SUMIF($G$2:$G39, G40, $E$2:$E39)) / (COUNTIF(Resultados_Apertura!$G$2:$G$154, G40) + COUNTIF($G$2:$G39, G40))</f>
        <v>1.8181818181818181</v>
      </c>
      <c r="O41" s="9">
        <f>((K41 * N41) / Formulas!$D$2) * IF(J41&gt;=2000, 1.2, IF(J41&gt;=1000, 1.1, 1))</f>
        <v>1.7851239669421484</v>
      </c>
      <c r="P41" s="9">
        <f>((M41 * L41) / Formulas!$D$6) * IF(J41&gt;=2000, 0.75, IF(J41&gt;=1000, 0.85, 1))</f>
        <v>0.75524475524475532</v>
      </c>
    </row>
    <row r="42" spans="1:16">
      <c r="A42" t="s">
        <v>97</v>
      </c>
      <c r="B42" s="3">
        <v>46249</v>
      </c>
      <c r="C42" t="s">
        <v>90</v>
      </c>
      <c r="D42" t="s">
        <v>12</v>
      </c>
      <c r="E42">
        <v>1</v>
      </c>
      <c r="F42">
        <v>0</v>
      </c>
      <c r="G42" t="s">
        <v>44</v>
      </c>
      <c r="H42" t="s">
        <v>13</v>
      </c>
      <c r="I42">
        <f>VLOOKUP(D42,Resultados_Apertura!$D$2:$J$154,6,FALSE)</f>
        <v>150</v>
      </c>
      <c r="J42">
        <f>VLOOKUP(G42,Resultados_Apertura!$G$2:$J$154,4,FALSE)</f>
        <v>2750</v>
      </c>
      <c r="K42" s="10">
        <f>(SUMIF(Resultados_Apertura!$D$2:$D$154, D41, Resultados_Apertura!$E$2:$E$154) + SUMIF($D$2:$D40, D41, $E$2:$E40)) / (COUNTIF(Resultados_Apertura!$D$2:$D$154, D41) + COUNTIF($D$2:$D40, D41))</f>
        <v>1.8181818181818181</v>
      </c>
      <c r="L42" s="10">
        <f>(SUMIF(Resultados_Apertura!$D$2:$D$154, D41, Resultados_Apertura!$F$2:$F$154) + SUMIF($D$2:$D40, D41, $F$2:$F40)) / (COUNTIF(Resultados_Apertura!$D$2:$D$154, D41) + COUNTIF($D$2:$D40, D41))</f>
        <v>0.90909090909090906</v>
      </c>
      <c r="M42" s="10">
        <f>(SUMIF(Resultados_Apertura!$G$2:$G$154, G41, Resultados_Apertura!$F$2:$F$154) + SUMIF($G$2:$G40, G41, $F$2:$F40)) / (COUNTIF(Resultados_Apertura!$G$2:$G$154, G41) + COUNTIF($G$2:$G40, G41))</f>
        <v>1.3</v>
      </c>
      <c r="N42" s="10">
        <f>(SUMIF(Resultados_Apertura!$G$2:$G$154, G41, Resultados_Apertura!$E$2:$E$154) + SUMIF($G$2:$G40, G41, $E$2:$E40)) / (COUNTIF(Resultados_Apertura!$G$2:$G$154, G41) + COUNTIF($G$2:$G40, G41))</f>
        <v>1.3</v>
      </c>
      <c r="O42" s="9">
        <f>((K42 * N42) / Formulas!$D$2) * IF(J42&gt;=2000, 1.2, IF(J42&gt;=1000, 1.1, 1))</f>
        <v>1.7018181818181819</v>
      </c>
      <c r="P42" s="9">
        <f>((M42 * L42) / Formulas!$D$6) * IF(J42&gt;=2000, 0.75, IF(J42&gt;=1000, 0.85, 1))</f>
        <v>0.81818181818181834</v>
      </c>
    </row>
    <row r="43" spans="1:16">
      <c r="A43" t="s">
        <v>97</v>
      </c>
      <c r="B43" s="3">
        <v>46250</v>
      </c>
      <c r="C43" t="s">
        <v>91</v>
      </c>
      <c r="D43" t="s">
        <v>42</v>
      </c>
      <c r="E43">
        <v>4</v>
      </c>
      <c r="F43">
        <v>1</v>
      </c>
      <c r="G43" t="s">
        <v>24</v>
      </c>
      <c r="H43" t="s">
        <v>13</v>
      </c>
      <c r="I43">
        <f>VLOOKUP(D43,Resultados_Apertura!$D$2:$J$154,6,FALSE)</f>
        <v>150</v>
      </c>
      <c r="J43">
        <f>VLOOKUP(G43,Resultados_Apertura!$G$2:$J$154,4,FALSE)</f>
        <v>3259</v>
      </c>
      <c r="K43" s="10">
        <f>(SUMIF(Resultados_Apertura!$D$2:$D$154, D42, Resultados_Apertura!$E$2:$E$154) + SUMIF($D$2:$D41, D42, $E$2:$E41)) / (COUNTIF(Resultados_Apertura!$D$2:$D$154, D42) + COUNTIF($D$2:$D41, D42))</f>
        <v>2.7</v>
      </c>
      <c r="L43" s="10">
        <f>(SUMIF(Resultados_Apertura!$D$2:$D$154, D42, Resultados_Apertura!$F$2:$F$154) + SUMIF($D$2:$D41, D42, $F$2:$F41)) / (COUNTIF(Resultados_Apertura!$D$2:$D$154, D42) + COUNTIF($D$2:$D41, D42))</f>
        <v>0.6</v>
      </c>
      <c r="M43" s="10">
        <f>(SUMIF(Resultados_Apertura!$G$2:$G$154, G42, Resultados_Apertura!$F$2:$F$154) + SUMIF($G$2:$G41, G42, $F$2:$F41)) / (COUNTIF(Resultados_Apertura!$G$2:$G$154, G42) + COUNTIF($G$2:$G41, G42))</f>
        <v>1.2727272727272727</v>
      </c>
      <c r="N43" s="10">
        <f>(SUMIF(Resultados_Apertura!$G$2:$G$154, G42, Resultados_Apertura!$E$2:$E$154) + SUMIF($G$2:$G41, G42, $E$2:$E41)) / (COUNTIF(Resultados_Apertura!$G$2:$G$154, G42) + COUNTIF($G$2:$G41, G42))</f>
        <v>2.2727272727272729</v>
      </c>
      <c r="O43" s="9">
        <f>((K43 * N43) / Formulas!$D$2) * IF(J43&gt;=2000, 1.2, IF(J43&gt;=1000, 1.1, 1))</f>
        <v>4.4181818181818189</v>
      </c>
      <c r="P43" s="9">
        <f>((M43 * L43) / Formulas!$D$6) * IF(J43&gt;=2000, 0.75, IF(J43&gt;=1000, 0.85, 1))</f>
        <v>0.52867132867132871</v>
      </c>
    </row>
    <row r="44" spans="1:16">
      <c r="A44" t="s">
        <v>97</v>
      </c>
      <c r="B44" s="3">
        <v>46250</v>
      </c>
      <c r="C44" t="s">
        <v>91</v>
      </c>
      <c r="D44" t="s">
        <v>27</v>
      </c>
      <c r="E44">
        <v>1</v>
      </c>
      <c r="F44">
        <v>1</v>
      </c>
      <c r="G44" t="s">
        <v>39</v>
      </c>
      <c r="H44" t="s">
        <v>28</v>
      </c>
      <c r="I44">
        <f>VLOOKUP(D44,Resultados_Apertura!$D$2:$J$154,6,FALSE)</f>
        <v>1410</v>
      </c>
      <c r="J44">
        <f>VLOOKUP(G44,Resultados_Apertura!$G$2:$J$154,4,FALSE)</f>
        <v>5</v>
      </c>
      <c r="K44" s="10">
        <f>(SUMIF(Resultados_Apertura!$D$2:$D$154, D43, Resultados_Apertura!$E$2:$E$154) + SUMIF($D$2:$D42, D43, $E$2:$E42)) / (COUNTIF(Resultados_Apertura!$D$2:$D$154, D43) + COUNTIF($D$2:$D42, D43))</f>
        <v>2</v>
      </c>
      <c r="L44" s="10">
        <f>(SUMIF(Resultados_Apertura!$D$2:$D$154, D43, Resultados_Apertura!$F$2:$F$154) + SUMIF($D$2:$D42, D43, $F$2:$F42)) / (COUNTIF(Resultados_Apertura!$D$2:$D$154, D43) + COUNTIF($D$2:$D42, D43))</f>
        <v>1.2</v>
      </c>
      <c r="M44" s="10">
        <f>(SUMIF(Resultados_Apertura!$G$2:$G$154, G43, Resultados_Apertura!$F$2:$F$154) + SUMIF($G$2:$G42, G43, $F$2:$F42)) / (COUNTIF(Resultados_Apertura!$G$2:$G$154, G43) + COUNTIF($G$2:$G42, G43))</f>
        <v>1.0909090909090908</v>
      </c>
      <c r="N44" s="10">
        <f>(SUMIF(Resultados_Apertura!$G$2:$G$154, G43, Resultados_Apertura!$E$2:$E$154) + SUMIF($G$2:$G42, G43, $E$2:$E42)) / (COUNTIF(Resultados_Apertura!$G$2:$G$154, G43) + COUNTIF($G$2:$G42, G43))</f>
        <v>2.1818181818181817</v>
      </c>
      <c r="O44" s="9">
        <f>((K44 * N44) / Formulas!$D$2) * IF(J44&gt;=2000, 1.2, IF(J44&gt;=1000, 1.1, 1))</f>
        <v>2.6181818181818177</v>
      </c>
      <c r="P44" s="9">
        <f>((M44 * L44) / Formulas!$D$6) * IF(J44&gt;=2000, 0.75, IF(J44&gt;=1000, 0.85, 1))</f>
        <v>1.2083916083916082</v>
      </c>
    </row>
    <row r="45" spans="1:16">
      <c r="A45" t="s">
        <v>97</v>
      </c>
      <c r="B45" s="3">
        <v>46250</v>
      </c>
      <c r="C45" t="s">
        <v>91</v>
      </c>
      <c r="D45" t="s">
        <v>30</v>
      </c>
      <c r="E45">
        <v>2</v>
      </c>
      <c r="F45">
        <v>3</v>
      </c>
      <c r="G45" t="s">
        <v>43</v>
      </c>
      <c r="H45" t="s">
        <v>31</v>
      </c>
      <c r="I45">
        <f>VLOOKUP(D45,Resultados_Apertura!$D$2:$J$154,6,FALSE)</f>
        <v>2750</v>
      </c>
      <c r="J45">
        <f>VLOOKUP(G45,Resultados_Apertura!$G$2:$J$154,4,FALSE)</f>
        <v>150</v>
      </c>
      <c r="K45" s="10">
        <f>(SUMIF(Resultados_Apertura!$D$2:$D$154, D44, Resultados_Apertura!$E$2:$E$154) + SUMIF($D$2:$D43, D44, $E$2:$E43)) / (COUNTIF(Resultados_Apertura!$D$2:$D$154, D44) + COUNTIF($D$2:$D43, D44))</f>
        <v>1.5</v>
      </c>
      <c r="L45" s="10">
        <f>(SUMIF(Resultados_Apertura!$D$2:$D$154, D44, Resultados_Apertura!$F$2:$F$154) + SUMIF($D$2:$D43, D44, $F$2:$F43)) / (COUNTIF(Resultados_Apertura!$D$2:$D$154, D44) + COUNTIF($D$2:$D43, D44))</f>
        <v>1.1000000000000001</v>
      </c>
      <c r="M45" s="10">
        <f>(SUMIF(Resultados_Apertura!$G$2:$G$154, G44, Resultados_Apertura!$F$2:$F$154) + SUMIF($G$2:$G43, G44, $F$2:$F43)) / (COUNTIF(Resultados_Apertura!$G$2:$G$154, G44) + COUNTIF($G$2:$G43, G44))</f>
        <v>0.7</v>
      </c>
      <c r="N45" s="10">
        <f>(SUMIF(Resultados_Apertura!$G$2:$G$154, G44, Resultados_Apertura!$E$2:$E$154) + SUMIF($G$2:$G43, G44, $E$2:$E43)) / (COUNTIF(Resultados_Apertura!$G$2:$G$154, G44) + COUNTIF($G$2:$G43, G44))</f>
        <v>1.5</v>
      </c>
      <c r="O45" s="9">
        <f>((K45 * N45) / Formulas!$D$2) * IF(J45&gt;=2000, 1.2, IF(J45&gt;=1000, 1.1, 1))</f>
        <v>1.3499999999999999</v>
      </c>
      <c r="P45" s="9">
        <f>((M45 * L45) / Formulas!$D$6) * IF(J45&gt;=2000, 0.75, IF(J45&gt;=1000, 0.85, 1))</f>
        <v>0.71076923076923082</v>
      </c>
    </row>
    <row r="46" spans="1:16">
      <c r="A46" t="s">
        <v>97</v>
      </c>
      <c r="B46" s="3">
        <v>46250</v>
      </c>
      <c r="C46" t="s">
        <v>91</v>
      </c>
      <c r="D46" t="s">
        <v>17</v>
      </c>
      <c r="E46">
        <v>0</v>
      </c>
      <c r="F46">
        <v>0</v>
      </c>
      <c r="G46" t="s">
        <v>26</v>
      </c>
      <c r="H46" t="s">
        <v>18</v>
      </c>
      <c r="I46">
        <f>VLOOKUP(D46,Resultados_Apertura!$D$2:$J$154,6,FALSE)</f>
        <v>3399</v>
      </c>
      <c r="J46">
        <f>VLOOKUP(G46,Resultados_Apertura!$G$2:$J$154,4,FALSE)</f>
        <v>3399</v>
      </c>
      <c r="K46" s="10">
        <f>(SUMIF(Resultados_Apertura!$D$2:$D$154, D45, Resultados_Apertura!$E$2:$E$154) + SUMIF($D$2:$D44, D45, $E$2:$E44)) / (COUNTIF(Resultados_Apertura!$D$2:$D$154, D45) + COUNTIF($D$2:$D44, D45))</f>
        <v>1.8</v>
      </c>
      <c r="L46" s="10">
        <f>(SUMIF(Resultados_Apertura!$D$2:$D$154, D45, Resultados_Apertura!$F$2:$F$154) + SUMIF($D$2:$D44, D45, $F$2:$F44)) / (COUNTIF(Resultados_Apertura!$D$2:$D$154, D45) + COUNTIF($D$2:$D44, D45))</f>
        <v>1.7</v>
      </c>
      <c r="M46" s="10">
        <f>(SUMIF(Resultados_Apertura!$G$2:$G$154, G45, Resultados_Apertura!$F$2:$F$154) + SUMIF($G$2:$G44, G45, $F$2:$F44)) / (COUNTIF(Resultados_Apertura!$G$2:$G$154, G45) + COUNTIF($G$2:$G44, G45))</f>
        <v>1.1000000000000001</v>
      </c>
      <c r="N46" s="10">
        <f>(SUMIF(Resultados_Apertura!$G$2:$G$154, G45, Resultados_Apertura!$E$2:$E$154) + SUMIF($G$2:$G44, G45, $E$2:$E44)) / (COUNTIF(Resultados_Apertura!$G$2:$G$154, G45) + COUNTIF($G$2:$G44, G45))</f>
        <v>1.2</v>
      </c>
      <c r="O46" s="9">
        <f>((K46 * N46) / Formulas!$D$2) * IF(J46&gt;=2000, 1.2, IF(J46&gt;=1000, 1.1, 1))</f>
        <v>1.5551999999999999</v>
      </c>
      <c r="P46" s="9">
        <f>((M46 * L46) / Formulas!$D$6) * IF(J46&gt;=2000, 0.75, IF(J46&gt;=1000, 0.85, 1))</f>
        <v>1.2946153846153847</v>
      </c>
    </row>
    <row r="47" spans="1:16">
      <c r="A47" t="s">
        <v>98</v>
      </c>
      <c r="B47" s="3">
        <v>46255</v>
      </c>
      <c r="C47" t="s">
        <v>89</v>
      </c>
      <c r="D47" t="s">
        <v>30</v>
      </c>
      <c r="E47">
        <v>1</v>
      </c>
      <c r="F47">
        <v>3</v>
      </c>
      <c r="G47" t="s">
        <v>15</v>
      </c>
      <c r="H47" t="s">
        <v>31</v>
      </c>
      <c r="I47">
        <f>VLOOKUP(D47,Resultados_Apertura!$D$2:$J$154,6,FALSE)</f>
        <v>2750</v>
      </c>
      <c r="J47">
        <f>VLOOKUP(G47,Resultados_Apertura!$G$2:$J$154,4,FALSE)</f>
        <v>29</v>
      </c>
      <c r="K47" s="10">
        <f>(SUMIF(Resultados_Apertura!$D$2:$D$154, D46, Resultados_Apertura!$E$2:$E$154) + SUMIF($D$2:$D45, D46, $E$2:$E45)) / (COUNTIF(Resultados_Apertura!$D$2:$D$154, D46) + COUNTIF($D$2:$D45, D46))</f>
        <v>2.2727272727272729</v>
      </c>
      <c r="L47" s="10">
        <f>(SUMIF(Resultados_Apertura!$D$2:$D$154, D46, Resultados_Apertura!$F$2:$F$154) + SUMIF($D$2:$D45, D46, $F$2:$F45)) / (COUNTIF(Resultados_Apertura!$D$2:$D$154, D46) + COUNTIF($D$2:$D45, D46))</f>
        <v>1.0909090909090908</v>
      </c>
      <c r="M47" s="10">
        <f>(SUMIF(Resultados_Apertura!$G$2:$G$154, G46, Resultados_Apertura!$F$2:$F$154) + SUMIF($G$2:$G45, G46, $F$2:$F45)) / (COUNTIF(Resultados_Apertura!$G$2:$G$154, G46) + COUNTIF($G$2:$G45, G46))</f>
        <v>0.5</v>
      </c>
      <c r="N47" s="10">
        <f>(SUMIF(Resultados_Apertura!$G$2:$G$154, G46, Resultados_Apertura!$E$2:$E$154) + SUMIF($G$2:$G45, G46, $E$2:$E45)) / (COUNTIF(Resultados_Apertura!$G$2:$G$154, G46) + COUNTIF($G$2:$G45, G46))</f>
        <v>1</v>
      </c>
      <c r="O47" s="9">
        <f>((K47 * N47) / Formulas!$D$2) * IF(J47&gt;=2000, 1.2, IF(J47&gt;=1000, 1.1, 1))</f>
        <v>1.3636363636363638</v>
      </c>
      <c r="P47" s="9">
        <f>((M47 * L47) / Formulas!$D$6) * IF(J47&gt;=2000, 0.75, IF(J47&gt;=1000, 0.85, 1))</f>
        <v>0.50349650349650354</v>
      </c>
    </row>
    <row r="48" spans="1:16">
      <c r="A48" t="s">
        <v>98</v>
      </c>
      <c r="B48" s="3">
        <v>46255</v>
      </c>
      <c r="C48" t="s">
        <v>89</v>
      </c>
      <c r="D48" t="s">
        <v>9</v>
      </c>
      <c r="E48">
        <v>3</v>
      </c>
      <c r="F48">
        <v>1</v>
      </c>
      <c r="G48" t="s">
        <v>42</v>
      </c>
      <c r="H48" t="s">
        <v>10</v>
      </c>
      <c r="I48">
        <f>VLOOKUP(D48,Resultados_Apertura!$D$2:$J$154,6,FALSE)</f>
        <v>60</v>
      </c>
      <c r="J48">
        <f>VLOOKUP(G48,Resultados_Apertura!$G$2:$J$154,4,FALSE)</f>
        <v>150</v>
      </c>
      <c r="K48" s="10">
        <f>(SUMIF(Resultados_Apertura!$D$2:$D$154, D47, Resultados_Apertura!$E$2:$E$154) + SUMIF($D$2:$D46, D47, $E$2:$E46)) / (COUNTIF(Resultados_Apertura!$D$2:$D$154, D47) + COUNTIF($D$2:$D46, D47))</f>
        <v>1.8181818181818181</v>
      </c>
      <c r="L48" s="10">
        <f>(SUMIF(Resultados_Apertura!$D$2:$D$154, D47, Resultados_Apertura!$F$2:$F$154) + SUMIF($D$2:$D46, D47, $F$2:$F46)) / (COUNTIF(Resultados_Apertura!$D$2:$D$154, D47) + COUNTIF($D$2:$D46, D47))</f>
        <v>1.8181818181818181</v>
      </c>
      <c r="M48" s="10">
        <f>(SUMIF(Resultados_Apertura!$G$2:$G$154, G47, Resultados_Apertura!$F$2:$F$154) + SUMIF($G$2:$G46, G47, $F$2:$F46)) / (COUNTIF(Resultados_Apertura!$G$2:$G$154, G47) + COUNTIF($G$2:$G46, G47))</f>
        <v>0.36363636363636365</v>
      </c>
      <c r="N48" s="10">
        <f>(SUMIF(Resultados_Apertura!$G$2:$G$154, G47, Resultados_Apertura!$E$2:$E$154) + SUMIF($G$2:$G46, G47, $E$2:$E46)) / (COUNTIF(Resultados_Apertura!$G$2:$G$154, G47) + COUNTIF($G$2:$G46, G47))</f>
        <v>1.2727272727272727</v>
      </c>
      <c r="O48" s="9">
        <f>((K48 * N48) / Formulas!$D$2) * IF(J48&gt;=2000, 1.2, IF(J48&gt;=1000, 1.1, 1))</f>
        <v>1.3884297520661155</v>
      </c>
      <c r="P48" s="9">
        <f>((M48 * L48) / Formulas!$D$6) * IF(J48&gt;=2000, 0.75, IF(J48&gt;=1000, 0.85, 1))</f>
        <v>0.61029879211697402</v>
      </c>
    </row>
    <row r="49" spans="1:16">
      <c r="A49" t="s">
        <v>98</v>
      </c>
      <c r="B49" s="3">
        <v>46256</v>
      </c>
      <c r="C49" t="s">
        <v>90</v>
      </c>
      <c r="D49" t="s">
        <v>24</v>
      </c>
      <c r="E49">
        <v>0</v>
      </c>
      <c r="F49">
        <v>2</v>
      </c>
      <c r="G49" t="s">
        <v>27</v>
      </c>
      <c r="H49" t="s">
        <v>25</v>
      </c>
      <c r="I49">
        <f>VLOOKUP(D49,Resultados_Apertura!$D$2:$J$154,6,FALSE)</f>
        <v>3259</v>
      </c>
      <c r="J49">
        <f>VLOOKUP(G49,Resultados_Apertura!$G$2:$J$154,4,FALSE)</f>
        <v>1410</v>
      </c>
      <c r="K49" s="10">
        <f>(SUMIF(Resultados_Apertura!$D$2:$D$154, D48, Resultados_Apertura!$E$2:$E$154) + SUMIF($D$2:$D47, D48, $E$2:$E47)) / (COUNTIF(Resultados_Apertura!$D$2:$D$154, D48) + COUNTIF($D$2:$D47, D48))</f>
        <v>1.5</v>
      </c>
      <c r="L49" s="10">
        <f>(SUMIF(Resultados_Apertura!$D$2:$D$154, D48, Resultados_Apertura!$F$2:$F$154) + SUMIF($D$2:$D47, D48, $F$2:$F47)) / (COUNTIF(Resultados_Apertura!$D$2:$D$154, D48) + COUNTIF($D$2:$D47, D48))</f>
        <v>0.6</v>
      </c>
      <c r="M49" s="10">
        <f>(SUMIF(Resultados_Apertura!$G$2:$G$154, G48, Resultados_Apertura!$F$2:$F$154) + SUMIF($G$2:$G47, G48, $F$2:$F47)) / (COUNTIF(Resultados_Apertura!$G$2:$G$154, G48) + COUNTIF($G$2:$G47, G48))</f>
        <v>1.1818181818181819</v>
      </c>
      <c r="N49" s="10">
        <f>(SUMIF(Resultados_Apertura!$G$2:$G$154, G48, Resultados_Apertura!$E$2:$E$154) + SUMIF($G$2:$G47, G48, $E$2:$E47)) / (COUNTIF(Resultados_Apertura!$G$2:$G$154, G48) + COUNTIF($G$2:$G47, G48))</f>
        <v>1.9090909090909092</v>
      </c>
      <c r="O49" s="9">
        <f>((K49 * N49) / Formulas!$D$2) * IF(J49&gt;=2000, 1.2, IF(J49&gt;=1000, 1.1, 1))</f>
        <v>1.8900000000000001</v>
      </c>
      <c r="P49" s="9">
        <f>((M49 * L49) / Formulas!$D$6) * IF(J49&gt;=2000, 0.75, IF(J49&gt;=1000, 0.85, 1))</f>
        <v>0.55636363636363639</v>
      </c>
    </row>
    <row r="50" spans="1:16">
      <c r="A50" t="s">
        <v>98</v>
      </c>
      <c r="B50" s="3">
        <v>46256</v>
      </c>
      <c r="C50" t="s">
        <v>90</v>
      </c>
      <c r="D50" t="s">
        <v>44</v>
      </c>
      <c r="E50">
        <v>1</v>
      </c>
      <c r="F50">
        <v>3</v>
      </c>
      <c r="G50" t="s">
        <v>19</v>
      </c>
      <c r="H50" t="s">
        <v>31</v>
      </c>
      <c r="I50">
        <f>VLOOKUP(D50,Resultados_Apertura!$D$2:$J$154,6,FALSE)</f>
        <v>2750</v>
      </c>
      <c r="J50">
        <f>VLOOKUP(G50,Resultados_Apertura!$G$2:$J$154,4,FALSE)</f>
        <v>2637</v>
      </c>
      <c r="K50" s="10">
        <f>(SUMIF(Resultados_Apertura!$D$2:$D$154, D49, Resultados_Apertura!$E$2:$E$154) + SUMIF($D$2:$D48, D49, $E$2:$E48)) / (COUNTIF(Resultados_Apertura!$D$2:$D$154, D49) + COUNTIF($D$2:$D48, D49))</f>
        <v>1.5</v>
      </c>
      <c r="L50" s="10">
        <f>(SUMIF(Resultados_Apertura!$D$2:$D$154, D49, Resultados_Apertura!$F$2:$F$154) + SUMIF($D$2:$D48, D49, $F$2:$F48)) / (COUNTIF(Resultados_Apertura!$D$2:$D$154, D49) + COUNTIF($D$2:$D48, D49))</f>
        <v>1</v>
      </c>
      <c r="M50" s="10">
        <f>(SUMIF(Resultados_Apertura!$G$2:$G$154, G49, Resultados_Apertura!$F$2:$F$154) + SUMIF($G$2:$G48, G49, $F$2:$F48)) / (COUNTIF(Resultados_Apertura!$G$2:$G$154, G49) + COUNTIF($G$2:$G48, G49))</f>
        <v>0.36363636363636365</v>
      </c>
      <c r="N50" s="10">
        <f>(SUMIF(Resultados_Apertura!$G$2:$G$154, G49, Resultados_Apertura!$E$2:$E$154) + SUMIF($G$2:$G48, G49, $E$2:$E48)) / (COUNTIF(Resultados_Apertura!$G$2:$G$154, G49) + COUNTIF($G$2:$G48, G49))</f>
        <v>1.5454545454545454</v>
      </c>
      <c r="O50" s="9">
        <f>((K50 * N50) / Formulas!$D$2) * IF(J50&gt;=2000, 1.2, IF(J50&gt;=1000, 1.1, 1))</f>
        <v>1.669090909090909</v>
      </c>
      <c r="P50" s="9">
        <f>((M50 * L50) / Formulas!$D$6) * IF(J50&gt;=2000, 0.75, IF(J50&gt;=1000, 0.85, 1))</f>
        <v>0.25174825174825177</v>
      </c>
    </row>
    <row r="51" spans="1:16">
      <c r="A51" t="s">
        <v>98</v>
      </c>
      <c r="B51" s="3">
        <v>46256</v>
      </c>
      <c r="C51" t="s">
        <v>90</v>
      </c>
      <c r="D51" t="s">
        <v>32</v>
      </c>
      <c r="E51">
        <v>5</v>
      </c>
      <c r="F51">
        <v>1</v>
      </c>
      <c r="G51" t="s">
        <v>5</v>
      </c>
      <c r="H51" t="s">
        <v>33</v>
      </c>
      <c r="I51">
        <f>VLOOKUP(D51,Resultados_Apertura!$D$2:$J$154,6,FALSE)</f>
        <v>209</v>
      </c>
      <c r="J51">
        <f>VLOOKUP(G51,Resultados_Apertura!$G$2:$J$154,4,FALSE)</f>
        <v>3050</v>
      </c>
      <c r="K51" s="10">
        <f>(SUMIF(Resultados_Apertura!$D$2:$D$154, D50, Resultados_Apertura!$E$2:$E$154) + SUMIF($D$2:$D49, D50, $E$2:$E49)) / (COUNTIF(Resultados_Apertura!$D$2:$D$154, D50) + COUNTIF($D$2:$D49, D50))</f>
        <v>1</v>
      </c>
      <c r="L51" s="10">
        <f>(SUMIF(Resultados_Apertura!$D$2:$D$154, D50, Resultados_Apertura!$F$2:$F$154) + SUMIF($D$2:$D49, D50, $F$2:$F49)) / (COUNTIF(Resultados_Apertura!$D$2:$D$154, D50) + COUNTIF($D$2:$D49, D50))</f>
        <v>0.9</v>
      </c>
      <c r="M51" s="10">
        <f>(SUMIF(Resultados_Apertura!$G$2:$G$154, G50, Resultados_Apertura!$F$2:$F$154) + SUMIF($G$2:$G49, G50, $F$2:$F49)) / (COUNTIF(Resultados_Apertura!$G$2:$G$154, G50) + COUNTIF($G$2:$G49, G50))</f>
        <v>1.1818181818181819</v>
      </c>
      <c r="N51" s="10">
        <f>(SUMIF(Resultados_Apertura!$G$2:$G$154, G50, Resultados_Apertura!$E$2:$E$154) + SUMIF($G$2:$G49, G50, $E$2:$E49)) / (COUNTIF(Resultados_Apertura!$G$2:$G$154, G50) + COUNTIF($G$2:$G49, G50))</f>
        <v>1.9090909090909092</v>
      </c>
      <c r="O51" s="9">
        <f>((K51 * N51) / Formulas!$D$2) * IF(J51&gt;=2000, 1.2, IF(J51&gt;=1000, 1.1, 1))</f>
        <v>1.3745454545454545</v>
      </c>
      <c r="P51" s="9">
        <f>((M51 * L51) / Formulas!$D$6) * IF(J51&gt;=2000, 0.75, IF(J51&gt;=1000, 0.85, 1))</f>
        <v>0.73636363636363644</v>
      </c>
    </row>
    <row r="52" spans="1:16">
      <c r="A52" t="s">
        <v>98</v>
      </c>
      <c r="B52" s="3">
        <v>46256</v>
      </c>
      <c r="C52" t="s">
        <v>90</v>
      </c>
      <c r="D52" t="s">
        <v>26</v>
      </c>
      <c r="E52">
        <v>4</v>
      </c>
      <c r="F52">
        <v>1</v>
      </c>
      <c r="G52" t="s">
        <v>23</v>
      </c>
      <c r="H52" t="s">
        <v>18</v>
      </c>
      <c r="I52">
        <f>VLOOKUP(D52,Resultados_Apertura!$D$2:$J$154,6,FALSE)</f>
        <v>3399</v>
      </c>
      <c r="J52">
        <f>VLOOKUP(G52,Resultados_Apertura!$G$2:$J$154,4,FALSE)</f>
        <v>3399</v>
      </c>
      <c r="K52" s="10">
        <f>(SUMIF(Resultados_Apertura!$D$2:$D$154, D51, Resultados_Apertura!$E$2:$E$154) + SUMIF($D$2:$D50, D51, $E$2:$E50)) / (COUNTIF(Resultados_Apertura!$D$2:$D$154, D51) + COUNTIF($D$2:$D50, D51))</f>
        <v>1.3636363636363635</v>
      </c>
      <c r="L52" s="10">
        <f>(SUMIF(Resultados_Apertura!$D$2:$D$154, D51, Resultados_Apertura!$F$2:$F$154) + SUMIF($D$2:$D50, D51, $F$2:$F50)) / (COUNTIF(Resultados_Apertura!$D$2:$D$154, D51) + COUNTIF($D$2:$D50, D51))</f>
        <v>1.7272727272727273</v>
      </c>
      <c r="M52" s="10">
        <f>(SUMIF(Resultados_Apertura!$G$2:$G$154, G51, Resultados_Apertura!$F$2:$F$154) + SUMIF($G$2:$G50, G51, $F$2:$F50)) / (COUNTIF(Resultados_Apertura!$G$2:$G$154, G51) + COUNTIF($G$2:$G50, G51))</f>
        <v>0.9</v>
      </c>
      <c r="N52" s="10">
        <f>(SUMIF(Resultados_Apertura!$G$2:$G$154, G51, Resultados_Apertura!$E$2:$E$154) + SUMIF($G$2:$G50, G51, $E$2:$E50)) / (COUNTIF(Resultados_Apertura!$G$2:$G$154, G51) + COUNTIF($G$2:$G50, G51))</f>
        <v>1.5</v>
      </c>
      <c r="O52" s="9">
        <f>((K52 * N52) / Formulas!$D$2) * IF(J52&gt;=2000, 1.2, IF(J52&gt;=1000, 1.1, 1))</f>
        <v>1.4727272727272727</v>
      </c>
      <c r="P52" s="9">
        <f>((M52 * L52) / Formulas!$D$6) * IF(J52&gt;=2000, 0.75, IF(J52&gt;=1000, 0.85, 1))</f>
        <v>1.0762237762237763</v>
      </c>
    </row>
    <row r="53" spans="1:16">
      <c r="A53" t="s">
        <v>98</v>
      </c>
      <c r="B53" s="3">
        <v>46257</v>
      </c>
      <c r="C53" t="s">
        <v>91</v>
      </c>
      <c r="D53" t="s">
        <v>39</v>
      </c>
      <c r="E53">
        <v>5</v>
      </c>
      <c r="F53">
        <v>1</v>
      </c>
      <c r="G53" t="s">
        <v>17</v>
      </c>
      <c r="H53" t="s">
        <v>40</v>
      </c>
      <c r="I53">
        <f>VLOOKUP(D53,Resultados_Apertura!$D$2:$J$154,6,FALSE)</f>
        <v>5</v>
      </c>
      <c r="J53">
        <f>VLOOKUP(G53,Resultados_Apertura!$G$2:$J$154,4,FALSE)</f>
        <v>3399</v>
      </c>
      <c r="K53" s="10">
        <f>(SUMIF(Resultados_Apertura!$D$2:$D$154, D52, Resultados_Apertura!$E$2:$E$154) + SUMIF($D$2:$D51, D52, $E$2:$E51)) / (COUNTIF(Resultados_Apertura!$D$2:$D$154, D52) + COUNTIF($D$2:$D51, D52))</f>
        <v>1.9090909090909092</v>
      </c>
      <c r="L53" s="10">
        <f>(SUMIF(Resultados_Apertura!$D$2:$D$154, D52, Resultados_Apertura!$F$2:$F$154) + SUMIF($D$2:$D51, D52, $F$2:$F51)) / (COUNTIF(Resultados_Apertura!$D$2:$D$154, D52) + COUNTIF($D$2:$D51, D52))</f>
        <v>0.90909090909090906</v>
      </c>
      <c r="M53" s="10">
        <f>(SUMIF(Resultados_Apertura!$G$2:$G$154, G52, Resultados_Apertura!$F$2:$F$154) + SUMIF($G$2:$G51, G52, $F$2:$F51)) / (COUNTIF(Resultados_Apertura!$G$2:$G$154, G52) + COUNTIF($G$2:$G51, G52))</f>
        <v>1.0909090909090908</v>
      </c>
      <c r="N53" s="10">
        <f>(SUMIF(Resultados_Apertura!$G$2:$G$154, G52, Resultados_Apertura!$E$2:$E$154) + SUMIF($G$2:$G51, G52, $E$2:$E51)) / (COUNTIF(Resultados_Apertura!$G$2:$G$154, G52) + COUNTIF($G$2:$G51, G52))</f>
        <v>2.0909090909090908</v>
      </c>
      <c r="O53" s="9">
        <f>((K53 * N53) / Formulas!$D$2) * IF(J53&gt;=2000, 1.2, IF(J53&gt;=1000, 1.1, 1))</f>
        <v>2.874049586776859</v>
      </c>
      <c r="P53" s="9">
        <f>((M53 * L53) / Formulas!$D$6) * IF(J53&gt;=2000, 0.75, IF(J53&gt;=1000, 0.85, 1))</f>
        <v>0.68658614113159566</v>
      </c>
    </row>
    <row r="54" spans="1:16">
      <c r="A54" t="s">
        <v>98</v>
      </c>
      <c r="B54" s="3">
        <v>46257</v>
      </c>
      <c r="C54" t="s">
        <v>91</v>
      </c>
      <c r="D54" t="s">
        <v>37</v>
      </c>
      <c r="E54">
        <v>1</v>
      </c>
      <c r="F54">
        <v>1</v>
      </c>
      <c r="G54" t="s">
        <v>12</v>
      </c>
      <c r="H54" t="s">
        <v>38</v>
      </c>
      <c r="I54">
        <f>VLOOKUP(D54,Resultados_Apertura!$D$2:$J$154,6,FALSE)</f>
        <v>2335</v>
      </c>
      <c r="J54">
        <f>VLOOKUP(G54,Resultados_Apertura!$G$2:$J$154,4,FALSE)</f>
        <v>150</v>
      </c>
      <c r="K54" s="10">
        <f>(SUMIF(Resultados_Apertura!$D$2:$D$154, D53, Resultados_Apertura!$E$2:$E$154) + SUMIF($D$2:$D52, D53, $E$2:$E52)) / (COUNTIF(Resultados_Apertura!$D$2:$D$154, D53) + COUNTIF($D$2:$D52, D53))</f>
        <v>1.0909090909090908</v>
      </c>
      <c r="L54" s="10">
        <f>(SUMIF(Resultados_Apertura!$D$2:$D$154, D53, Resultados_Apertura!$F$2:$F$154) + SUMIF($D$2:$D52, D53, $F$2:$F52)) / (COUNTIF(Resultados_Apertura!$D$2:$D$154, D53) + COUNTIF($D$2:$D52, D53))</f>
        <v>0.54545454545454541</v>
      </c>
      <c r="M54" s="10">
        <f>(SUMIF(Resultados_Apertura!$G$2:$G$154, G53, Resultados_Apertura!$F$2:$F$154) + SUMIF($G$2:$G52, G53, $F$2:$F52)) / (COUNTIF(Resultados_Apertura!$G$2:$G$154, G53) + COUNTIF($G$2:$G52, G53))</f>
        <v>1.2</v>
      </c>
      <c r="N54" s="10">
        <f>(SUMIF(Resultados_Apertura!$G$2:$G$154, G53, Resultados_Apertura!$E$2:$E$154) + SUMIF($G$2:$G52, G53, $E$2:$E52)) / (COUNTIF(Resultados_Apertura!$G$2:$G$154, G53) + COUNTIF($G$2:$G52, G53))</f>
        <v>1.6</v>
      </c>
      <c r="O54" s="9">
        <f>((K54 * N54) / Formulas!$D$2) * IF(J54&gt;=2000, 1.2, IF(J54&gt;=1000, 1.1, 1))</f>
        <v>1.0472727272727271</v>
      </c>
      <c r="P54" s="9">
        <f>((M54 * L54) / Formulas!$D$6) * IF(J54&gt;=2000, 0.75, IF(J54&gt;=1000, 0.85, 1))</f>
        <v>0.6041958041958041</v>
      </c>
    </row>
    <row r="55" spans="1:16">
      <c r="A55" t="s">
        <v>98</v>
      </c>
      <c r="B55" s="3">
        <v>46257</v>
      </c>
      <c r="C55" t="s">
        <v>91</v>
      </c>
      <c r="D55" t="s">
        <v>43</v>
      </c>
      <c r="E55">
        <v>3</v>
      </c>
      <c r="F55">
        <v>0</v>
      </c>
      <c r="G55" t="s">
        <v>35</v>
      </c>
      <c r="H55" t="s">
        <v>13</v>
      </c>
      <c r="I55">
        <f>VLOOKUP(D55,Resultados_Apertura!$D$2:$J$154,6,FALSE)</f>
        <v>150</v>
      </c>
      <c r="J55">
        <f>VLOOKUP(G55,Resultados_Apertura!$G$2:$J$154,4,FALSE)</f>
        <v>2926</v>
      </c>
      <c r="K55" s="10">
        <f>(SUMIF(Resultados_Apertura!$D$2:$D$154, D54, Resultados_Apertura!$E$2:$E$154) + SUMIF($D$2:$D53, D54, $E$2:$E53)) / (COUNTIF(Resultados_Apertura!$D$2:$D$154, D54) + COUNTIF($D$2:$D53, D54))</f>
        <v>2.0909090909090908</v>
      </c>
      <c r="L55" s="10">
        <f>(SUMIF(Resultados_Apertura!$D$2:$D$154, D54, Resultados_Apertura!$F$2:$F$154) + SUMIF($D$2:$D53, D54, $F$2:$F53)) / (COUNTIF(Resultados_Apertura!$D$2:$D$154, D54) + COUNTIF($D$2:$D53, D54))</f>
        <v>1.1818181818181819</v>
      </c>
      <c r="M55" s="10">
        <f>(SUMIF(Resultados_Apertura!$G$2:$G$154, G54, Resultados_Apertura!$F$2:$F$154) + SUMIF($G$2:$G53, G54, $F$2:$F53)) / (COUNTIF(Resultados_Apertura!$G$2:$G$154, G54) + COUNTIF($G$2:$G53, G54))</f>
        <v>1</v>
      </c>
      <c r="N55" s="10">
        <f>(SUMIF(Resultados_Apertura!$G$2:$G$154, G54, Resultados_Apertura!$E$2:$E$154) + SUMIF($G$2:$G53, G54, $E$2:$E53)) / (COUNTIF(Resultados_Apertura!$G$2:$G$154, G54) + COUNTIF($G$2:$G53, G54))</f>
        <v>0.63636363636363635</v>
      </c>
      <c r="O55" s="9">
        <f>((K55 * N55) / Formulas!$D$2) * IF(J55&gt;=2000, 1.2, IF(J55&gt;=1000, 1.1, 1))</f>
        <v>0.95801652892561973</v>
      </c>
      <c r="P55" s="9">
        <f>((M55 * L55) / Formulas!$D$6) * IF(J55&gt;=2000, 0.75, IF(J55&gt;=1000, 0.85, 1))</f>
        <v>0.81818181818181834</v>
      </c>
    </row>
    <row r="56" spans="1:16">
      <c r="A56" t="s">
        <v>99</v>
      </c>
      <c r="B56" s="3">
        <v>46262</v>
      </c>
      <c r="C56" t="s">
        <v>89</v>
      </c>
      <c r="D56" t="s">
        <v>19</v>
      </c>
      <c r="E56">
        <v>2</v>
      </c>
      <c r="F56">
        <v>3</v>
      </c>
      <c r="G56" t="s">
        <v>30</v>
      </c>
      <c r="H56" t="s">
        <v>20</v>
      </c>
      <c r="I56">
        <f>VLOOKUP(D56,Resultados_Apertura!$D$2:$J$154,6,FALSE)</f>
        <v>2637</v>
      </c>
      <c r="J56">
        <f>VLOOKUP(G56,Resultados_Apertura!$G$2:$J$154,4,FALSE)</f>
        <v>2750</v>
      </c>
      <c r="K56" s="10">
        <f>(SUMIF(Resultados_Apertura!$D$2:$D$154, D55, Resultados_Apertura!$E$2:$E$154) + SUMIF($D$2:$D54, D55, $E$2:$E54)) / (COUNTIF(Resultados_Apertura!$D$2:$D$154, D55) + COUNTIF($D$2:$D54, D55))</f>
        <v>1.6363636363636365</v>
      </c>
      <c r="L56" s="10">
        <f>(SUMIF(Resultados_Apertura!$D$2:$D$154, D55, Resultados_Apertura!$F$2:$F$154) + SUMIF($D$2:$D54, D55, $F$2:$F54)) / (COUNTIF(Resultados_Apertura!$D$2:$D$154, D55) + COUNTIF($D$2:$D54, D55))</f>
        <v>0.72727272727272729</v>
      </c>
      <c r="M56" s="10">
        <f>(SUMIF(Resultados_Apertura!$G$2:$G$154, G55, Resultados_Apertura!$F$2:$F$154) + SUMIF($G$2:$G54, G55, $F$2:$F54)) / (COUNTIF(Resultados_Apertura!$G$2:$G$154, G55) + COUNTIF($G$2:$G54, G55))</f>
        <v>1.1000000000000001</v>
      </c>
      <c r="N56" s="10">
        <f>(SUMIF(Resultados_Apertura!$G$2:$G$154, G55, Resultados_Apertura!$E$2:$E$154) + SUMIF($G$2:$G54, G55, $E$2:$E54)) / (COUNTIF(Resultados_Apertura!$G$2:$G$154, G55) + COUNTIF($G$2:$G54, G55))</f>
        <v>1.7</v>
      </c>
      <c r="O56" s="9">
        <f>((K56 * N56) / Formulas!$D$2) * IF(J56&gt;=2000, 1.2, IF(J56&gt;=1000, 1.1, 1))</f>
        <v>2.0029090909090908</v>
      </c>
      <c r="P56" s="9">
        <f>((M56 * L56) / Formulas!$D$6) * IF(J56&gt;=2000, 0.75, IF(J56&gt;=1000, 0.85, 1))</f>
        <v>0.55384615384615388</v>
      </c>
    </row>
    <row r="57" spans="1:16">
      <c r="A57" t="s">
        <v>99</v>
      </c>
      <c r="B57" s="3">
        <v>46263</v>
      </c>
      <c r="C57" t="s">
        <v>90</v>
      </c>
      <c r="D57" t="s">
        <v>35</v>
      </c>
      <c r="E57">
        <v>3</v>
      </c>
      <c r="F57">
        <v>4</v>
      </c>
      <c r="G57" t="s">
        <v>32</v>
      </c>
      <c r="H57" t="s">
        <v>36</v>
      </c>
      <c r="I57">
        <f>VLOOKUP(D57,Resultados_Apertura!$D$2:$J$154,6,FALSE)</f>
        <v>2926</v>
      </c>
      <c r="J57">
        <f>VLOOKUP(G57,Resultados_Apertura!$G$2:$J$154,4,FALSE)</f>
        <v>209</v>
      </c>
      <c r="K57" s="10">
        <f>(SUMIF(Resultados_Apertura!$D$2:$D$154, D56, Resultados_Apertura!$E$2:$E$154) + SUMIF($D$2:$D55, D56, $E$2:$E55)) / (COUNTIF(Resultados_Apertura!$D$2:$D$154, D56) + COUNTIF($D$2:$D55, D56))</f>
        <v>1.2727272727272727</v>
      </c>
      <c r="L57" s="10">
        <f>(SUMIF(Resultados_Apertura!$D$2:$D$154, D56, Resultados_Apertura!$F$2:$F$154) + SUMIF($D$2:$D55, D56, $F$2:$F55)) / (COUNTIF(Resultados_Apertura!$D$2:$D$154, D56) + COUNTIF($D$2:$D55, D56))</f>
        <v>0.72727272727272729</v>
      </c>
      <c r="M57" s="10">
        <f>(SUMIF(Resultados_Apertura!$G$2:$G$154, G56, Resultados_Apertura!$F$2:$F$154) + SUMIF($G$2:$G55, G56, $F$2:$F55)) / (COUNTIF(Resultados_Apertura!$G$2:$G$154, G56) + COUNTIF($G$2:$G55, G56))</f>
        <v>1.0909090909090908</v>
      </c>
      <c r="N57" s="10">
        <f>(SUMIF(Resultados_Apertura!$G$2:$G$154, G56, Resultados_Apertura!$E$2:$E$154) + SUMIF($G$2:$G55, G56, $E$2:$E55)) / (COUNTIF(Resultados_Apertura!$G$2:$G$154, G56) + COUNTIF($G$2:$G55, G56))</f>
        <v>1.7272727272727273</v>
      </c>
      <c r="O57" s="9">
        <f>((K57 * N57) / Formulas!$D$2) * IF(J57&gt;=2000, 1.2, IF(J57&gt;=1000, 1.1, 1))</f>
        <v>1.3190082644628098</v>
      </c>
      <c r="P57" s="9">
        <f>((M57 * L57) / Formulas!$D$6) * IF(J57&gt;=2000, 0.75, IF(J57&gt;=1000, 0.85, 1))</f>
        <v>0.73235855054036869</v>
      </c>
    </row>
    <row r="58" spans="1:16">
      <c r="A58" t="s">
        <v>99</v>
      </c>
      <c r="B58" s="3">
        <v>46263</v>
      </c>
      <c r="C58" t="s">
        <v>90</v>
      </c>
      <c r="D58" t="s">
        <v>44</v>
      </c>
      <c r="E58">
        <v>2</v>
      </c>
      <c r="F58">
        <v>4</v>
      </c>
      <c r="G58" t="s">
        <v>43</v>
      </c>
      <c r="H58" t="s">
        <v>31</v>
      </c>
      <c r="I58">
        <f>VLOOKUP(D58,Resultados_Apertura!$D$2:$J$154,6,FALSE)</f>
        <v>2750</v>
      </c>
      <c r="J58">
        <f>VLOOKUP(G58,Resultados_Apertura!$G$2:$J$154,4,FALSE)</f>
        <v>150</v>
      </c>
      <c r="K58" s="10">
        <f>(SUMIF(Resultados_Apertura!$D$2:$D$154, D57, Resultados_Apertura!$E$2:$E$154) + SUMIF($D$2:$D56, D57, $E$2:$E56)) / (COUNTIF(Resultados_Apertura!$D$2:$D$154, D57) + COUNTIF($D$2:$D56, D57))</f>
        <v>1.6666666666666667</v>
      </c>
      <c r="L58" s="10">
        <f>(SUMIF(Resultados_Apertura!$D$2:$D$154, D57, Resultados_Apertura!$F$2:$F$154) + SUMIF($D$2:$D56, D57, $F$2:$F56)) / (COUNTIF(Resultados_Apertura!$D$2:$D$154, D57) + COUNTIF($D$2:$D56, D57))</f>
        <v>1.0833333333333333</v>
      </c>
      <c r="M58" s="10">
        <f>(SUMIF(Resultados_Apertura!$G$2:$G$154, G57, Resultados_Apertura!$F$2:$F$154) + SUMIF($G$2:$G56, G57, $F$2:$F56)) / (COUNTIF(Resultados_Apertura!$G$2:$G$154, G57) + COUNTIF($G$2:$G56, G57))</f>
        <v>1</v>
      </c>
      <c r="N58" s="10">
        <f>(SUMIF(Resultados_Apertura!$G$2:$G$154, G57, Resultados_Apertura!$E$2:$E$154) + SUMIF($G$2:$G56, G57, $E$2:$E56)) / (COUNTIF(Resultados_Apertura!$G$2:$G$154, G57) + COUNTIF($G$2:$G56, G57))</f>
        <v>2.4545454545454546</v>
      </c>
      <c r="O58" s="9">
        <f>((K58 * N58) / Formulas!$D$2) * IF(J58&gt;=2000, 1.2, IF(J58&gt;=1000, 1.1, 1))</f>
        <v>2.4545454545454546</v>
      </c>
      <c r="P58" s="9">
        <f>((M58 * L58) / Formulas!$D$6) * IF(J58&gt;=2000, 0.75, IF(J58&gt;=1000, 0.85, 1))</f>
        <v>1</v>
      </c>
    </row>
    <row r="59" spans="1:16">
      <c r="A59" t="s">
        <v>99</v>
      </c>
      <c r="B59" s="3">
        <v>46264</v>
      </c>
      <c r="C59" t="s">
        <v>91</v>
      </c>
      <c r="D59" t="s">
        <v>12</v>
      </c>
      <c r="E59">
        <v>0</v>
      </c>
      <c r="F59">
        <v>1</v>
      </c>
      <c r="G59" t="s">
        <v>26</v>
      </c>
      <c r="H59" t="s">
        <v>13</v>
      </c>
      <c r="I59">
        <f>VLOOKUP(D59,Resultados_Apertura!$D$2:$J$154,6,FALSE)</f>
        <v>150</v>
      </c>
      <c r="J59">
        <f>VLOOKUP(G59,Resultados_Apertura!$G$2:$J$154,4,FALSE)</f>
        <v>3399</v>
      </c>
      <c r="K59" s="10">
        <f>(SUMIF(Resultados_Apertura!$D$2:$D$154, D58, Resultados_Apertura!$E$2:$E$154) + SUMIF($D$2:$D57, D58, $E$2:$E57)) / (COUNTIF(Resultados_Apertura!$D$2:$D$154, D58) + COUNTIF($D$2:$D57, D58))</f>
        <v>1</v>
      </c>
      <c r="L59" s="10">
        <f>(SUMIF(Resultados_Apertura!$D$2:$D$154, D58, Resultados_Apertura!$F$2:$F$154) + SUMIF($D$2:$D57, D58, $F$2:$F57)) / (COUNTIF(Resultados_Apertura!$D$2:$D$154, D58) + COUNTIF($D$2:$D57, D58))</f>
        <v>1.0909090909090908</v>
      </c>
      <c r="M59" s="10">
        <f>(SUMIF(Resultados_Apertura!$G$2:$G$154, G58, Resultados_Apertura!$F$2:$F$154) + SUMIF($G$2:$G57, G58, $F$2:$F57)) / (COUNTIF(Resultados_Apertura!$G$2:$G$154, G58) + COUNTIF($G$2:$G57, G58))</f>
        <v>1.2727272727272727</v>
      </c>
      <c r="N59" s="10">
        <f>(SUMIF(Resultados_Apertura!$G$2:$G$154, G58, Resultados_Apertura!$E$2:$E$154) + SUMIF($G$2:$G57, G58, $E$2:$E57)) / (COUNTIF(Resultados_Apertura!$G$2:$G$154, G58) + COUNTIF($G$2:$G57, G58))</f>
        <v>1.2727272727272727</v>
      </c>
      <c r="O59" s="9">
        <f>((K59 * N59) / Formulas!$D$2) * IF(J59&gt;=2000, 1.2, IF(J59&gt;=1000, 1.1, 1))</f>
        <v>0.91636363636363627</v>
      </c>
      <c r="P59" s="9">
        <f>((M59 * L59) / Formulas!$D$6) * IF(J59&gt;=2000, 0.75, IF(J59&gt;=1000, 0.85, 1))</f>
        <v>0.96122059758423395</v>
      </c>
    </row>
    <row r="60" spans="1:16">
      <c r="A60" t="s">
        <v>99</v>
      </c>
      <c r="B60" s="3">
        <v>46264</v>
      </c>
      <c r="C60" t="s">
        <v>91</v>
      </c>
      <c r="D60" t="s">
        <v>27</v>
      </c>
      <c r="E60">
        <v>1</v>
      </c>
      <c r="F60">
        <v>4</v>
      </c>
      <c r="G60" t="s">
        <v>9</v>
      </c>
      <c r="H60" t="s">
        <v>28</v>
      </c>
      <c r="I60">
        <f>VLOOKUP(D60,Resultados_Apertura!$D$2:$J$154,6,FALSE)</f>
        <v>1410</v>
      </c>
      <c r="J60">
        <f>VLOOKUP(G60,Resultados_Apertura!$G$2:$J$154,4,FALSE)</f>
        <v>60</v>
      </c>
      <c r="K60" s="10">
        <f>(SUMIF(Resultados_Apertura!$D$2:$D$154, D59, Resultados_Apertura!$E$2:$E$154) + SUMIF($D$2:$D58, D59, $E$2:$E58)) / (COUNTIF(Resultados_Apertura!$D$2:$D$154, D59) + COUNTIF($D$2:$D58, D59))</f>
        <v>2.5454545454545454</v>
      </c>
      <c r="L60" s="10">
        <f>(SUMIF(Resultados_Apertura!$D$2:$D$154, D59, Resultados_Apertura!$F$2:$F$154) + SUMIF($D$2:$D58, D59, $F$2:$F58)) / (COUNTIF(Resultados_Apertura!$D$2:$D$154, D59) + COUNTIF($D$2:$D58, D59))</f>
        <v>0.54545454545454541</v>
      </c>
      <c r="M60" s="10">
        <f>(SUMIF(Resultados_Apertura!$G$2:$G$154, G59, Resultados_Apertura!$F$2:$F$154) + SUMIF($G$2:$G58, G59, $F$2:$F58)) / (COUNTIF(Resultados_Apertura!$G$2:$G$154, G59) + COUNTIF($G$2:$G58, G59))</f>
        <v>0.45454545454545453</v>
      </c>
      <c r="N60" s="10">
        <f>(SUMIF(Resultados_Apertura!$G$2:$G$154, G59, Resultados_Apertura!$E$2:$E$154) + SUMIF($G$2:$G58, G59, $E$2:$E58)) / (COUNTIF(Resultados_Apertura!$G$2:$G$154, G59) + COUNTIF($G$2:$G58, G59))</f>
        <v>0.90909090909090906</v>
      </c>
      <c r="O60" s="9">
        <f>((K60 * N60) / Formulas!$D$2) * IF(J60&gt;=2000, 1.2, IF(J60&gt;=1000, 1.1, 1))</f>
        <v>1.3884297520661155</v>
      </c>
      <c r="P60" s="9">
        <f>((M60 * L60) / Formulas!$D$6) * IF(J60&gt;=2000, 0.75, IF(J60&gt;=1000, 0.85, 1))</f>
        <v>0.22886204704386523</v>
      </c>
    </row>
    <row r="61" spans="1:16">
      <c r="A61" t="s">
        <v>99</v>
      </c>
      <c r="B61" s="3">
        <v>46264</v>
      </c>
      <c r="C61" t="s">
        <v>91</v>
      </c>
      <c r="D61" t="s">
        <v>5</v>
      </c>
      <c r="E61">
        <v>1</v>
      </c>
      <c r="F61">
        <v>3</v>
      </c>
      <c r="G61" t="s">
        <v>24</v>
      </c>
      <c r="H61" t="s">
        <v>6</v>
      </c>
      <c r="I61">
        <f>VLOOKUP(D61,Resultados_Apertura!$D$2:$J$154,6,FALSE)</f>
        <v>3050</v>
      </c>
      <c r="J61">
        <f>VLOOKUP(G61,Resultados_Apertura!$G$2:$J$154,4,FALSE)</f>
        <v>3259</v>
      </c>
      <c r="K61" s="10">
        <f>(SUMIF(Resultados_Apertura!$D$2:$D$154, D60, Resultados_Apertura!$E$2:$E$154) + SUMIF($D$2:$D59, D60, $E$2:$E59)) / (COUNTIF(Resultados_Apertura!$D$2:$D$154, D60) + COUNTIF($D$2:$D59, D60))</f>
        <v>1.4545454545454546</v>
      </c>
      <c r="L61" s="10">
        <f>(SUMIF(Resultados_Apertura!$D$2:$D$154, D60, Resultados_Apertura!$F$2:$F$154) + SUMIF($D$2:$D59, D60, $F$2:$F59)) / (COUNTIF(Resultados_Apertura!$D$2:$D$154, D60) + COUNTIF($D$2:$D59, D60))</f>
        <v>1.0909090909090908</v>
      </c>
      <c r="M61" s="10">
        <f>(SUMIF(Resultados_Apertura!$G$2:$G$154, G60, Resultados_Apertura!$F$2:$F$154) + SUMIF($G$2:$G59, G60, $F$2:$F59)) / (COUNTIF(Resultados_Apertura!$G$2:$G$154, G60) + COUNTIF($G$2:$G59, G60))</f>
        <v>1</v>
      </c>
      <c r="N61" s="10">
        <f>(SUMIF(Resultados_Apertura!$G$2:$G$154, G60, Resultados_Apertura!$E$2:$E$154) + SUMIF($G$2:$G59, G60, $E$2:$E59)) / (COUNTIF(Resultados_Apertura!$G$2:$G$154, G60) + COUNTIF($G$2:$G59, G60))</f>
        <v>1.75</v>
      </c>
      <c r="O61" s="9">
        <f>((K61 * N61) / Formulas!$D$2) * IF(J61&gt;=2000, 1.2, IF(J61&gt;=1000, 1.1, 1))</f>
        <v>1.8327272727272725</v>
      </c>
      <c r="P61" s="9">
        <f>((M61 * L61) / Formulas!$D$6) * IF(J61&gt;=2000, 0.75, IF(J61&gt;=1000, 0.85, 1))</f>
        <v>0.75524475524475532</v>
      </c>
    </row>
    <row r="62" spans="1:16">
      <c r="A62" t="s">
        <v>99</v>
      </c>
      <c r="B62" s="3">
        <v>46264</v>
      </c>
      <c r="C62" t="s">
        <v>91</v>
      </c>
      <c r="D62" t="s">
        <v>39</v>
      </c>
      <c r="E62">
        <v>1</v>
      </c>
      <c r="F62">
        <v>0</v>
      </c>
      <c r="G62" t="s">
        <v>42</v>
      </c>
      <c r="H62" t="s">
        <v>40</v>
      </c>
      <c r="I62">
        <f>VLOOKUP(D62,Resultados_Apertura!$D$2:$J$154,6,FALSE)</f>
        <v>5</v>
      </c>
      <c r="J62">
        <f>VLOOKUP(G62,Resultados_Apertura!$G$2:$J$154,4,FALSE)</f>
        <v>150</v>
      </c>
      <c r="K62" s="10">
        <f>(SUMIF(Resultados_Apertura!$D$2:$D$154, D61, Resultados_Apertura!$E$2:$E$154) + SUMIF($D$2:$D60, D61, $E$2:$E60)) / (COUNTIF(Resultados_Apertura!$D$2:$D$154, D61) + COUNTIF($D$2:$D60, D61))</f>
        <v>1.3333333333333333</v>
      </c>
      <c r="L62" s="10">
        <f>(SUMIF(Resultados_Apertura!$D$2:$D$154, D61, Resultados_Apertura!$F$2:$F$154) + SUMIF($D$2:$D60, D61, $F$2:$F60)) / (COUNTIF(Resultados_Apertura!$D$2:$D$154, D61) + COUNTIF($D$2:$D60, D61))</f>
        <v>1.0833333333333333</v>
      </c>
      <c r="M62" s="10">
        <f>(SUMIF(Resultados_Apertura!$G$2:$G$154, G61, Resultados_Apertura!$F$2:$F$154) + SUMIF($G$2:$G60, G61, $F$2:$F60)) / (COUNTIF(Resultados_Apertura!$G$2:$G$154, G61) + COUNTIF($G$2:$G60, G61))</f>
        <v>1.0833333333333333</v>
      </c>
      <c r="N62" s="10">
        <f>(SUMIF(Resultados_Apertura!$G$2:$G$154, G61, Resultados_Apertura!$E$2:$E$154) + SUMIF($G$2:$G60, G61, $E$2:$E60)) / (COUNTIF(Resultados_Apertura!$G$2:$G$154, G61) + COUNTIF($G$2:$G60, G61))</f>
        <v>2.3333333333333335</v>
      </c>
      <c r="O62" s="9">
        <f>((K62 * N62) / Formulas!$D$2) * IF(J62&gt;=2000, 1.2, IF(J62&gt;=1000, 1.1, 1))</f>
        <v>1.8666666666666667</v>
      </c>
      <c r="P62" s="9">
        <f>((M62 * L62) / Formulas!$D$6) * IF(J62&gt;=2000, 0.75, IF(J62&gt;=1000, 0.85, 1))</f>
        <v>1.0833333333333333</v>
      </c>
    </row>
    <row r="63" spans="1:16">
      <c r="A63" t="s">
        <v>99</v>
      </c>
      <c r="B63" s="3">
        <v>46264</v>
      </c>
      <c r="C63" t="s">
        <v>91</v>
      </c>
      <c r="D63" t="s">
        <v>17</v>
      </c>
      <c r="E63">
        <v>1</v>
      </c>
      <c r="F63">
        <v>2</v>
      </c>
      <c r="G63" t="s">
        <v>23</v>
      </c>
      <c r="H63" t="s">
        <v>18</v>
      </c>
      <c r="I63">
        <f>VLOOKUP(D63,Resultados_Apertura!$D$2:$J$154,6,FALSE)</f>
        <v>3399</v>
      </c>
      <c r="J63">
        <f>VLOOKUP(G63,Resultados_Apertura!$G$2:$J$154,4,FALSE)</f>
        <v>3399</v>
      </c>
      <c r="K63" s="10">
        <f>(SUMIF(Resultados_Apertura!$D$2:$D$154, D62, Resultados_Apertura!$E$2:$E$154) + SUMIF($D$2:$D61, D62, $E$2:$E61)) / (COUNTIF(Resultados_Apertura!$D$2:$D$154, D62) + COUNTIF($D$2:$D61, D62))</f>
        <v>1.4166666666666667</v>
      </c>
      <c r="L63" s="10">
        <f>(SUMIF(Resultados_Apertura!$D$2:$D$154, D62, Resultados_Apertura!$F$2:$F$154) + SUMIF($D$2:$D61, D62, $F$2:$F61)) / (COUNTIF(Resultados_Apertura!$D$2:$D$154, D62) + COUNTIF($D$2:$D61, D62))</f>
        <v>0.58333333333333337</v>
      </c>
      <c r="M63" s="10">
        <f>(SUMIF(Resultados_Apertura!$G$2:$G$154, G62, Resultados_Apertura!$F$2:$F$154) + SUMIF($G$2:$G61, G62, $F$2:$F61)) / (COUNTIF(Resultados_Apertura!$G$2:$G$154, G62) + COUNTIF($G$2:$G61, G62))</f>
        <v>1.1666666666666667</v>
      </c>
      <c r="N63" s="10">
        <f>(SUMIF(Resultados_Apertura!$G$2:$G$154, G62, Resultados_Apertura!$E$2:$E$154) + SUMIF($G$2:$G61, G62, $E$2:$E61)) / (COUNTIF(Resultados_Apertura!$G$2:$G$154, G62) + COUNTIF($G$2:$G61, G62))</f>
        <v>2</v>
      </c>
      <c r="O63" s="9">
        <f>((K63 * N63) / Formulas!$D$2) * IF(J63&gt;=2000, 1.2, IF(J63&gt;=1000, 1.1, 1))</f>
        <v>2.04</v>
      </c>
      <c r="P63" s="9">
        <f>((M63 * L63) / Formulas!$D$6) * IF(J63&gt;=2000, 0.75, IF(J63&gt;=1000, 0.85, 1))</f>
        <v>0.47115384615384631</v>
      </c>
    </row>
    <row r="64" spans="1:16">
      <c r="A64" t="s">
        <v>99</v>
      </c>
      <c r="B64" s="3">
        <v>46266</v>
      </c>
      <c r="C64" t="s">
        <v>91</v>
      </c>
      <c r="D64" t="s">
        <v>15</v>
      </c>
      <c r="E64">
        <v>1</v>
      </c>
      <c r="F64">
        <v>0</v>
      </c>
      <c r="G64" t="s">
        <v>37</v>
      </c>
      <c r="H64" t="s">
        <v>10</v>
      </c>
      <c r="I64">
        <f>VLOOKUP(D64,Resultados_Apertura!$D$2:$J$154,6,FALSE)</f>
        <v>29</v>
      </c>
      <c r="J64">
        <f>VLOOKUP(G64,Resultados_Apertura!$G$2:$J$154,4,FALSE)</f>
        <v>2335</v>
      </c>
      <c r="K64" s="10">
        <f>(SUMIF(Resultados_Apertura!$D$2:$D$154, D63, Resultados_Apertura!$E$2:$E$154) + SUMIF($D$2:$D62, D63, $E$2:$E62)) / (COUNTIF(Resultados_Apertura!$D$2:$D$154, D63) + COUNTIF($D$2:$D62, D63))</f>
        <v>2.0833333333333335</v>
      </c>
      <c r="L64" s="10">
        <f>(SUMIF(Resultados_Apertura!$D$2:$D$154, D63, Resultados_Apertura!$F$2:$F$154) + SUMIF($D$2:$D62, D63, $F$2:$F62)) / (COUNTIF(Resultados_Apertura!$D$2:$D$154, D63) + COUNTIF($D$2:$D62, D63))</f>
        <v>1</v>
      </c>
      <c r="M64" s="10">
        <f>(SUMIF(Resultados_Apertura!$G$2:$G$154, G63, Resultados_Apertura!$F$2:$F$154) + SUMIF($G$2:$G62, G63, $F$2:$F62)) / (COUNTIF(Resultados_Apertura!$G$2:$G$154, G63) + COUNTIF($G$2:$G62, G63))</f>
        <v>1.0833333333333333</v>
      </c>
      <c r="N64" s="10">
        <f>(SUMIF(Resultados_Apertura!$G$2:$G$154, G63, Resultados_Apertura!$E$2:$E$154) + SUMIF($G$2:$G62, G63, $E$2:$E62)) / (COUNTIF(Resultados_Apertura!$G$2:$G$154, G63) + COUNTIF($G$2:$G62, G63))</f>
        <v>2.25</v>
      </c>
      <c r="O64" s="9">
        <f>((K64 * N64) / Formulas!$D$2) * IF(J64&gt;=2000, 1.2, IF(J64&gt;=1000, 1.1, 1))</f>
        <v>3.375</v>
      </c>
      <c r="P64" s="9">
        <f>((M64 * L64) / Formulas!$D$6) * IF(J64&gt;=2000, 0.75, IF(J64&gt;=1000, 0.85, 1))</f>
        <v>0.75</v>
      </c>
    </row>
    <row r="65" spans="1:16">
      <c r="A65" t="s">
        <v>100</v>
      </c>
      <c r="B65" s="3">
        <v>46269</v>
      </c>
      <c r="C65" t="s">
        <v>89</v>
      </c>
      <c r="D65" t="s">
        <v>30</v>
      </c>
      <c r="E65">
        <v>2</v>
      </c>
      <c r="F65">
        <v>5</v>
      </c>
      <c r="G65" t="s">
        <v>17</v>
      </c>
      <c r="H65" t="s">
        <v>31</v>
      </c>
      <c r="I65">
        <f>VLOOKUP(D65,Resultados_Apertura!$D$2:$J$154,6,FALSE)</f>
        <v>2750</v>
      </c>
      <c r="J65">
        <f>VLOOKUP(G65,Resultados_Apertura!$G$2:$J$154,4,FALSE)</f>
        <v>3399</v>
      </c>
      <c r="K65" s="10">
        <f>(SUMIF(Resultados_Apertura!$D$2:$D$154, D64, Resultados_Apertura!$E$2:$E$154) + SUMIF($D$2:$D63, D64, $E$2:$E63)) / (COUNTIF(Resultados_Apertura!$D$2:$D$154, D64) + COUNTIF($D$2:$D63, D64))</f>
        <v>1.0909090909090908</v>
      </c>
      <c r="L65" s="10">
        <f>(SUMIF(Resultados_Apertura!$D$2:$D$154, D64, Resultados_Apertura!$F$2:$F$154) + SUMIF($D$2:$D63, D64, $F$2:$F63)) / (COUNTIF(Resultados_Apertura!$D$2:$D$154, D64) + COUNTIF($D$2:$D63, D64))</f>
        <v>0.72727272727272729</v>
      </c>
      <c r="M65" s="10">
        <f>(SUMIF(Resultados_Apertura!$G$2:$G$154, G64, Resultados_Apertura!$F$2:$F$154) + SUMIF($G$2:$G63, G64, $F$2:$F63)) / (COUNTIF(Resultados_Apertura!$G$2:$G$154, G64) + COUNTIF($G$2:$G63, G64))</f>
        <v>1.4545454545454546</v>
      </c>
      <c r="N65" s="10">
        <f>(SUMIF(Resultados_Apertura!$G$2:$G$154, G64, Resultados_Apertura!$E$2:$E$154) + SUMIF($G$2:$G63, G64, $E$2:$E63)) / (COUNTIF(Resultados_Apertura!$G$2:$G$154, G64) + COUNTIF($G$2:$G63, G64))</f>
        <v>1.1818181818181819</v>
      </c>
      <c r="O65" s="9">
        <f>((K65 * N65) / Formulas!$D$2) * IF(J65&gt;=2000, 1.2, IF(J65&gt;=1000, 1.1, 1))</f>
        <v>0.92826446280991726</v>
      </c>
      <c r="P65" s="9">
        <f>((M65 * L65) / Formulas!$D$6) * IF(J65&gt;=2000, 0.75, IF(J65&gt;=1000, 0.85, 1))</f>
        <v>0.7323585505403688</v>
      </c>
    </row>
    <row r="66" spans="1:16">
      <c r="A66" t="s">
        <v>100</v>
      </c>
      <c r="B66" s="3">
        <v>46269</v>
      </c>
      <c r="C66" t="s">
        <v>89</v>
      </c>
      <c r="D66" t="s">
        <v>9</v>
      </c>
      <c r="E66">
        <v>3</v>
      </c>
      <c r="F66">
        <v>2</v>
      </c>
      <c r="G66" t="s">
        <v>44</v>
      </c>
      <c r="H66" t="s">
        <v>10</v>
      </c>
      <c r="I66">
        <f>VLOOKUP(D66,Resultados_Apertura!$D$2:$J$154,6,FALSE)</f>
        <v>60</v>
      </c>
      <c r="J66">
        <f>VLOOKUP(G66,Resultados_Apertura!$G$2:$J$154,4,FALSE)</f>
        <v>2750</v>
      </c>
      <c r="K66" s="10">
        <f>(SUMIF(Resultados_Apertura!$D$2:$D$154, D65, Resultados_Apertura!$E$2:$E$154) + SUMIF($D$2:$D64, D65, $E$2:$E64)) / (COUNTIF(Resultados_Apertura!$D$2:$D$154, D65) + COUNTIF($D$2:$D64, D65))</f>
        <v>1.75</v>
      </c>
      <c r="L66" s="10">
        <f>(SUMIF(Resultados_Apertura!$D$2:$D$154, D65, Resultados_Apertura!$F$2:$F$154) + SUMIF($D$2:$D64, D65, $F$2:$F64)) / (COUNTIF(Resultados_Apertura!$D$2:$D$154, D65) + COUNTIF($D$2:$D64, D65))</f>
        <v>1.9166666666666667</v>
      </c>
      <c r="M66" s="10">
        <f>(SUMIF(Resultados_Apertura!$G$2:$G$154, G65, Resultados_Apertura!$F$2:$F$154) + SUMIF($G$2:$G64, G65, $F$2:$F64)) / (COUNTIF(Resultados_Apertura!$G$2:$G$154, G65) + COUNTIF($G$2:$G64, G65))</f>
        <v>1.1818181818181819</v>
      </c>
      <c r="N66" s="10">
        <f>(SUMIF(Resultados_Apertura!$G$2:$G$154, G65, Resultados_Apertura!$E$2:$E$154) + SUMIF($G$2:$G64, G65, $E$2:$E64)) / (COUNTIF(Resultados_Apertura!$G$2:$G$154, G65) + COUNTIF($G$2:$G64, G65))</f>
        <v>1.9090909090909092</v>
      </c>
      <c r="O66" s="9">
        <f>((K66 * N66) / Formulas!$D$2) * IF(J66&gt;=2000, 1.2, IF(J66&gt;=1000, 1.1, 1))</f>
        <v>2.4054545454545453</v>
      </c>
      <c r="P66" s="9">
        <f>((M66 * L66) / Formulas!$D$6) * IF(J66&gt;=2000, 0.75, IF(J66&gt;=1000, 0.85, 1))</f>
        <v>1.5681818181818181</v>
      </c>
    </row>
    <row r="67" spans="1:16">
      <c r="A67" t="s">
        <v>100</v>
      </c>
      <c r="B67" s="3">
        <v>46270</v>
      </c>
      <c r="C67" t="s">
        <v>90</v>
      </c>
      <c r="D67" t="s">
        <v>24</v>
      </c>
      <c r="E67">
        <v>2</v>
      </c>
      <c r="F67">
        <v>1</v>
      </c>
      <c r="G67" t="s">
        <v>39</v>
      </c>
      <c r="H67" t="s">
        <v>25</v>
      </c>
      <c r="I67">
        <f>VLOOKUP(D67,Resultados_Apertura!$D$2:$J$154,6,FALSE)</f>
        <v>3259</v>
      </c>
      <c r="J67">
        <f>VLOOKUP(G67,Resultados_Apertura!$G$2:$J$154,4,FALSE)</f>
        <v>5</v>
      </c>
      <c r="K67" s="10">
        <f>(SUMIF(Resultados_Apertura!$D$2:$D$154, D66, Resultados_Apertura!$E$2:$E$154) + SUMIF($D$2:$D65, D66, $E$2:$E65)) / (COUNTIF(Resultados_Apertura!$D$2:$D$154, D66) + COUNTIF($D$2:$D65, D66))</f>
        <v>1.6363636363636365</v>
      </c>
      <c r="L67" s="10">
        <f>(SUMIF(Resultados_Apertura!$D$2:$D$154, D66, Resultados_Apertura!$F$2:$F$154) + SUMIF($D$2:$D65, D66, $F$2:$F65)) / (COUNTIF(Resultados_Apertura!$D$2:$D$154, D66) + COUNTIF($D$2:$D65, D66))</f>
        <v>0.63636363636363635</v>
      </c>
      <c r="M67" s="10">
        <f>(SUMIF(Resultados_Apertura!$G$2:$G$154, G66, Resultados_Apertura!$F$2:$F$154) + SUMIF($G$2:$G65, G66, $F$2:$F65)) / (COUNTIF(Resultados_Apertura!$G$2:$G$154, G66) + COUNTIF($G$2:$G65, G66))</f>
        <v>1.1666666666666667</v>
      </c>
      <c r="N67" s="10">
        <f>(SUMIF(Resultados_Apertura!$G$2:$G$154, G66, Resultados_Apertura!$E$2:$E$154) + SUMIF($G$2:$G65, G66, $E$2:$E65)) / (COUNTIF(Resultados_Apertura!$G$2:$G$154, G66) + COUNTIF($G$2:$G65, G66))</f>
        <v>2.1666666666666665</v>
      </c>
      <c r="O67" s="9">
        <f>((K67 * N67) / Formulas!$D$2) * IF(J67&gt;=2000, 1.2, IF(J67&gt;=1000, 1.1, 1))</f>
        <v>2.127272727272727</v>
      </c>
      <c r="P67" s="9">
        <f>((M67 * L67) / Formulas!$D$6) * IF(J67&gt;=2000, 0.75, IF(J67&gt;=1000, 0.85, 1))</f>
        <v>0.68531468531468531</v>
      </c>
    </row>
    <row r="68" spans="1:16">
      <c r="A68" t="s">
        <v>100</v>
      </c>
      <c r="B68" s="3">
        <v>46270</v>
      </c>
      <c r="C68" t="s">
        <v>90</v>
      </c>
      <c r="D68" t="s">
        <v>23</v>
      </c>
      <c r="E68">
        <v>2</v>
      </c>
      <c r="F68">
        <v>0</v>
      </c>
      <c r="G68" t="s">
        <v>27</v>
      </c>
      <c r="H68" t="s">
        <v>18</v>
      </c>
      <c r="I68">
        <f>VLOOKUP(D68,Resultados_Apertura!$D$2:$J$154,6,FALSE)</f>
        <v>3399</v>
      </c>
      <c r="J68">
        <f>VLOOKUP(G68,Resultados_Apertura!$G$2:$J$154,4,FALSE)</f>
        <v>1410</v>
      </c>
      <c r="K68" s="10">
        <f>(SUMIF(Resultados_Apertura!$D$2:$D$154, D67, Resultados_Apertura!$E$2:$E$154) + SUMIF($D$2:$D66, D67, $E$2:$E66)) / (COUNTIF(Resultados_Apertura!$D$2:$D$154, D67) + COUNTIF($D$2:$D66, D67))</f>
        <v>1.3636363636363635</v>
      </c>
      <c r="L68" s="10">
        <f>(SUMIF(Resultados_Apertura!$D$2:$D$154, D67, Resultados_Apertura!$F$2:$F$154) + SUMIF($D$2:$D66, D67, $F$2:$F66)) / (COUNTIF(Resultados_Apertura!$D$2:$D$154, D67) + COUNTIF($D$2:$D66, D67))</f>
        <v>1.0909090909090908</v>
      </c>
      <c r="M68" s="10">
        <f>(SUMIF(Resultados_Apertura!$G$2:$G$154, G67, Resultados_Apertura!$F$2:$F$154) + SUMIF($G$2:$G66, G67, $F$2:$F66)) / (COUNTIF(Resultados_Apertura!$G$2:$G$154, G67) + COUNTIF($G$2:$G66, G67))</f>
        <v>0.72727272727272729</v>
      </c>
      <c r="N68" s="10">
        <f>(SUMIF(Resultados_Apertura!$G$2:$G$154, G67, Resultados_Apertura!$E$2:$E$154) + SUMIF($G$2:$G66, G67, $E$2:$E66)) / (COUNTIF(Resultados_Apertura!$G$2:$G$154, G67) + COUNTIF($G$2:$G66, G67))</f>
        <v>1.4545454545454546</v>
      </c>
      <c r="O68" s="9">
        <f>((K68 * N68) / Formulas!$D$2) * IF(J68&gt;=2000, 1.2, IF(J68&gt;=1000, 1.1, 1))</f>
        <v>1.3090909090909091</v>
      </c>
      <c r="P68" s="9">
        <f>((M68 * L68) / Formulas!$D$6) * IF(J68&gt;=2000, 0.75, IF(J68&gt;=1000, 0.85, 1))</f>
        <v>0.62250476795931342</v>
      </c>
    </row>
    <row r="69" spans="1:16">
      <c r="A69" t="s">
        <v>100</v>
      </c>
      <c r="B69" s="3">
        <v>46270</v>
      </c>
      <c r="C69" t="s">
        <v>90</v>
      </c>
      <c r="D69" t="s">
        <v>43</v>
      </c>
      <c r="E69">
        <v>2</v>
      </c>
      <c r="F69">
        <v>2</v>
      </c>
      <c r="G69" t="s">
        <v>19</v>
      </c>
      <c r="H69" t="s">
        <v>13</v>
      </c>
      <c r="I69">
        <f>VLOOKUP(D69,Resultados_Apertura!$D$2:$J$154,6,FALSE)</f>
        <v>150</v>
      </c>
      <c r="J69">
        <f>VLOOKUP(G69,Resultados_Apertura!$G$2:$J$154,4,FALSE)</f>
        <v>2637</v>
      </c>
      <c r="K69" s="10">
        <f>(SUMIF(Resultados_Apertura!$D$2:$D$154, D68, Resultados_Apertura!$E$2:$E$154) + SUMIF($D$2:$D67, D68, $E$2:$E67)) / (COUNTIF(Resultados_Apertura!$D$2:$D$154, D68) + COUNTIF($D$2:$D67, D68))</f>
        <v>1.9090909090909092</v>
      </c>
      <c r="L69" s="10">
        <f>(SUMIF(Resultados_Apertura!$D$2:$D$154, D68, Resultados_Apertura!$F$2:$F$154) + SUMIF($D$2:$D67, D68, $F$2:$F67)) / (COUNTIF(Resultados_Apertura!$D$2:$D$154, D68) + COUNTIF($D$2:$D67, D68))</f>
        <v>0.72727272727272729</v>
      </c>
      <c r="M69" s="10">
        <f>(SUMIF(Resultados_Apertura!$G$2:$G$154, G68, Resultados_Apertura!$F$2:$F$154) + SUMIF($G$2:$G67, G68, $F$2:$F67)) / (COUNTIF(Resultados_Apertura!$G$2:$G$154, G68) + COUNTIF($G$2:$G67, G68))</f>
        <v>0.5</v>
      </c>
      <c r="N69" s="10">
        <f>(SUMIF(Resultados_Apertura!$G$2:$G$154, G68, Resultados_Apertura!$E$2:$E$154) + SUMIF($G$2:$G67, G68, $E$2:$E67)) / (COUNTIF(Resultados_Apertura!$G$2:$G$154, G68) + COUNTIF($G$2:$G67, G68))</f>
        <v>1.4166666666666667</v>
      </c>
      <c r="O69" s="9">
        <f>((K69 * N69) / Formulas!$D$2) * IF(J69&gt;=2000, 1.2, IF(J69&gt;=1000, 1.1, 1))</f>
        <v>1.947272727272727</v>
      </c>
      <c r="P69" s="9">
        <f>((M69 * L69) / Formulas!$D$6) * IF(J69&gt;=2000, 0.75, IF(J69&gt;=1000, 0.85, 1))</f>
        <v>0.25174825174825177</v>
      </c>
    </row>
    <row r="70" spans="1:16">
      <c r="A70" t="s">
        <v>100</v>
      </c>
      <c r="B70" s="3">
        <v>46271</v>
      </c>
      <c r="C70" t="s">
        <v>91</v>
      </c>
      <c r="D70" t="s">
        <v>42</v>
      </c>
      <c r="E70">
        <v>5</v>
      </c>
      <c r="F70">
        <v>0</v>
      </c>
      <c r="G70" t="s">
        <v>35</v>
      </c>
      <c r="H70" t="s">
        <v>13</v>
      </c>
      <c r="I70">
        <f>VLOOKUP(D70,Resultados_Apertura!$D$2:$J$154,6,FALSE)</f>
        <v>150</v>
      </c>
      <c r="J70">
        <f>VLOOKUP(G70,Resultados_Apertura!$G$2:$J$154,4,FALSE)</f>
        <v>2926</v>
      </c>
      <c r="K70" s="10">
        <f>(SUMIF(Resultados_Apertura!$D$2:$D$154, D69, Resultados_Apertura!$E$2:$E$154) + SUMIF($D$2:$D68, D69, $E$2:$E68)) / (COUNTIF(Resultados_Apertura!$D$2:$D$154, D69) + COUNTIF($D$2:$D68, D69))</f>
        <v>1.75</v>
      </c>
      <c r="L70" s="10">
        <f>(SUMIF(Resultados_Apertura!$D$2:$D$154, D69, Resultados_Apertura!$F$2:$F$154) + SUMIF($D$2:$D68, D69, $F$2:$F68)) / (COUNTIF(Resultados_Apertura!$D$2:$D$154, D69) + COUNTIF($D$2:$D68, D69))</f>
        <v>0.66666666666666663</v>
      </c>
      <c r="M70" s="10">
        <f>(SUMIF(Resultados_Apertura!$G$2:$G$154, G69, Resultados_Apertura!$F$2:$F$154) + SUMIF($G$2:$G68, G69, $F$2:$F68)) / (COUNTIF(Resultados_Apertura!$G$2:$G$154, G69) + COUNTIF($G$2:$G68, G69))</f>
        <v>1.3333333333333333</v>
      </c>
      <c r="N70" s="10">
        <f>(SUMIF(Resultados_Apertura!$G$2:$G$154, G69, Resultados_Apertura!$E$2:$E$154) + SUMIF($G$2:$G68, G69, $E$2:$E68)) / (COUNTIF(Resultados_Apertura!$G$2:$G$154, G69) + COUNTIF($G$2:$G68, G69))</f>
        <v>1.8333333333333333</v>
      </c>
      <c r="O70" s="9">
        <f>((K70 * N70) / Formulas!$D$2) * IF(J70&gt;=2000, 1.2, IF(J70&gt;=1000, 1.1, 1))</f>
        <v>2.3099999999999996</v>
      </c>
      <c r="P70" s="9">
        <f>((M70 * L70) / Formulas!$D$6) * IF(J70&gt;=2000, 0.75, IF(J70&gt;=1000, 0.85, 1))</f>
        <v>0.61538461538461542</v>
      </c>
    </row>
    <row r="71" spans="1:16">
      <c r="A71" t="s">
        <v>100</v>
      </c>
      <c r="B71" s="3">
        <v>46271</v>
      </c>
      <c r="C71" t="s">
        <v>91</v>
      </c>
      <c r="D71" t="s">
        <v>26</v>
      </c>
      <c r="E71">
        <v>4</v>
      </c>
      <c r="F71">
        <v>2</v>
      </c>
      <c r="G71" t="s">
        <v>15</v>
      </c>
      <c r="H71" t="s">
        <v>18</v>
      </c>
      <c r="I71">
        <f>VLOOKUP(D71,Resultados_Apertura!$D$2:$J$154,6,FALSE)</f>
        <v>3399</v>
      </c>
      <c r="J71">
        <f>VLOOKUP(G71,Resultados_Apertura!$G$2:$J$154,4,FALSE)</f>
        <v>29</v>
      </c>
      <c r="K71" s="10">
        <f>(SUMIF(Resultados_Apertura!$D$2:$D$154, D70, Resultados_Apertura!$E$2:$E$154) + SUMIF($D$2:$D69, D70, $E$2:$E69)) / (COUNTIF(Resultados_Apertura!$D$2:$D$154, D70) + COUNTIF($D$2:$D69, D70))</f>
        <v>2.1818181818181817</v>
      </c>
      <c r="L71" s="10">
        <f>(SUMIF(Resultados_Apertura!$D$2:$D$154, D70, Resultados_Apertura!$F$2:$F$154) + SUMIF($D$2:$D69, D70, $F$2:$F69)) / (COUNTIF(Resultados_Apertura!$D$2:$D$154, D70) + COUNTIF($D$2:$D69, D70))</f>
        <v>1.1818181818181819</v>
      </c>
      <c r="M71" s="10">
        <f>(SUMIF(Resultados_Apertura!$G$2:$G$154, G70, Resultados_Apertura!$F$2:$F$154) + SUMIF($G$2:$G69, G70, $F$2:$F69)) / (COUNTIF(Resultados_Apertura!$G$2:$G$154, G70) + COUNTIF($G$2:$G69, G70))</f>
        <v>1</v>
      </c>
      <c r="N71" s="10">
        <f>(SUMIF(Resultados_Apertura!$G$2:$G$154, G70, Resultados_Apertura!$E$2:$E$154) + SUMIF($G$2:$G69, G70, $E$2:$E69)) / (COUNTIF(Resultados_Apertura!$G$2:$G$154, G70) + COUNTIF($G$2:$G69, G70))</f>
        <v>1.8181818181818181</v>
      </c>
      <c r="O71" s="9">
        <f>((K71 * N71) / Formulas!$D$2) * IF(J71&gt;=2000, 1.2, IF(J71&gt;=1000, 1.1, 1))</f>
        <v>2.380165289256198</v>
      </c>
      <c r="P71" s="9">
        <f>((M71 * L71) / Formulas!$D$6) * IF(J71&gt;=2000, 0.75, IF(J71&gt;=1000, 0.85, 1))</f>
        <v>1.0909090909090911</v>
      </c>
    </row>
    <row r="72" spans="1:16">
      <c r="A72" t="s">
        <v>100</v>
      </c>
      <c r="B72" s="3">
        <v>46271</v>
      </c>
      <c r="C72" t="s">
        <v>91</v>
      </c>
      <c r="D72" t="s">
        <v>32</v>
      </c>
      <c r="E72">
        <v>1</v>
      </c>
      <c r="F72">
        <v>1</v>
      </c>
      <c r="G72" t="s">
        <v>12</v>
      </c>
      <c r="H72" t="s">
        <v>33</v>
      </c>
      <c r="I72">
        <f>VLOOKUP(D72,Resultados_Apertura!$D$2:$J$154,6,FALSE)</f>
        <v>209</v>
      </c>
      <c r="J72">
        <f>VLOOKUP(G72,Resultados_Apertura!$G$2:$J$154,4,FALSE)</f>
        <v>150</v>
      </c>
      <c r="K72" s="10">
        <f>(SUMIF(Resultados_Apertura!$D$2:$D$154, D71, Resultados_Apertura!$E$2:$E$154) + SUMIF($D$2:$D70, D71, $E$2:$E70)) / (COUNTIF(Resultados_Apertura!$D$2:$D$154, D71) + COUNTIF($D$2:$D70, D71))</f>
        <v>2.0833333333333335</v>
      </c>
      <c r="L72" s="10">
        <f>(SUMIF(Resultados_Apertura!$D$2:$D$154, D71, Resultados_Apertura!$F$2:$F$154) + SUMIF($D$2:$D70, D71, $F$2:$F70)) / (COUNTIF(Resultados_Apertura!$D$2:$D$154, D71) + COUNTIF($D$2:$D70, D71))</f>
        <v>0.91666666666666663</v>
      </c>
      <c r="M72" s="10">
        <f>(SUMIF(Resultados_Apertura!$G$2:$G$154, G71, Resultados_Apertura!$F$2:$F$154) + SUMIF($G$2:$G70, G71, $F$2:$F70)) / (COUNTIF(Resultados_Apertura!$G$2:$G$154, G71) + COUNTIF($G$2:$G70, G71))</f>
        <v>0.58333333333333337</v>
      </c>
      <c r="N72" s="10">
        <f>(SUMIF(Resultados_Apertura!$G$2:$G$154, G71, Resultados_Apertura!$E$2:$E$154) + SUMIF($G$2:$G70, G71, $E$2:$E70)) / (COUNTIF(Resultados_Apertura!$G$2:$G$154, G71) + COUNTIF($G$2:$G70, G71))</f>
        <v>1.25</v>
      </c>
      <c r="O72" s="9">
        <f>((K72 * N72) / Formulas!$D$2) * IF(J72&gt;=2000, 1.2, IF(J72&gt;=1000, 1.1, 1))</f>
        <v>1.5625</v>
      </c>
      <c r="P72" s="9">
        <f>((M72 * L72) / Formulas!$D$6) * IF(J72&gt;=2000, 0.75, IF(J72&gt;=1000, 0.85, 1))</f>
        <v>0.49358974358974361</v>
      </c>
    </row>
    <row r="73" spans="1:16">
      <c r="A73" t="s">
        <v>100</v>
      </c>
      <c r="B73" s="3">
        <v>46271</v>
      </c>
      <c r="C73" t="s">
        <v>91</v>
      </c>
      <c r="D73" t="s">
        <v>37</v>
      </c>
      <c r="E73">
        <v>3</v>
      </c>
      <c r="F73">
        <v>0</v>
      </c>
      <c r="G73" t="s">
        <v>5</v>
      </c>
      <c r="H73" t="s">
        <v>38</v>
      </c>
      <c r="I73">
        <f>VLOOKUP(D73,Resultados_Apertura!$D$2:$J$154,6,FALSE)</f>
        <v>2335</v>
      </c>
      <c r="J73">
        <f>VLOOKUP(G73,Resultados_Apertura!$G$2:$J$154,4,FALSE)</f>
        <v>3050</v>
      </c>
      <c r="K73" s="10">
        <f>(SUMIF(Resultados_Apertura!$D$2:$D$154, D72, Resultados_Apertura!$E$2:$E$154) + SUMIF($D$2:$D71, D72, $E$2:$E71)) / (COUNTIF(Resultados_Apertura!$D$2:$D$154, D72) + COUNTIF($D$2:$D71, D72))</f>
        <v>1.6666666666666667</v>
      </c>
      <c r="L73" s="10">
        <f>(SUMIF(Resultados_Apertura!$D$2:$D$154, D72, Resultados_Apertura!$F$2:$F$154) + SUMIF($D$2:$D71, D72, $F$2:$F71)) / (COUNTIF(Resultados_Apertura!$D$2:$D$154, D72) + COUNTIF($D$2:$D71, D72))</f>
        <v>1.6666666666666667</v>
      </c>
      <c r="M73" s="10">
        <f>(SUMIF(Resultados_Apertura!$G$2:$G$154, G72, Resultados_Apertura!$F$2:$F$154) + SUMIF($G$2:$G71, G72, $F$2:$F71)) / (COUNTIF(Resultados_Apertura!$G$2:$G$154, G72) + COUNTIF($G$2:$G71, G72))</f>
        <v>1</v>
      </c>
      <c r="N73" s="10">
        <f>(SUMIF(Resultados_Apertura!$G$2:$G$154, G72, Resultados_Apertura!$E$2:$E$154) + SUMIF($G$2:$G71, G72, $E$2:$E71)) / (COUNTIF(Resultados_Apertura!$G$2:$G$154, G72) + COUNTIF($G$2:$G71, G72))</f>
        <v>0.66666666666666663</v>
      </c>
      <c r="O73" s="9">
        <f>((K73 * N73) / Formulas!$D$2) * IF(J73&gt;=2000, 1.2, IF(J73&gt;=1000, 1.1, 1))</f>
        <v>0.79999999999999993</v>
      </c>
      <c r="P73" s="9">
        <f>((M73 * L73) / Formulas!$D$6) * IF(J73&gt;=2000, 0.75, IF(J73&gt;=1000, 0.85, 1))</f>
        <v>1.153846153846154</v>
      </c>
    </row>
    <row r="74" spans="1:16">
      <c r="A74" t="s">
        <v>101</v>
      </c>
      <c r="B74" s="3">
        <v>46276</v>
      </c>
      <c r="C74" t="s">
        <v>89</v>
      </c>
      <c r="D74" t="s">
        <v>44</v>
      </c>
      <c r="E74">
        <v>1</v>
      </c>
      <c r="F74">
        <v>2</v>
      </c>
      <c r="G74" t="s">
        <v>32</v>
      </c>
      <c r="H74" t="s">
        <v>31</v>
      </c>
      <c r="I74">
        <f>VLOOKUP(D74,Resultados_Apertura!$D$2:$J$154,6,FALSE)</f>
        <v>2750</v>
      </c>
      <c r="J74">
        <f>VLOOKUP(G74,Resultados_Apertura!$G$2:$J$154,4,FALSE)</f>
        <v>209</v>
      </c>
      <c r="K74" s="10">
        <f>(SUMIF(Resultados_Apertura!$D$2:$D$154, D73, Resultados_Apertura!$E$2:$E$154) + SUMIF($D$2:$D72, D73, $E$2:$E72)) / (COUNTIF(Resultados_Apertura!$D$2:$D$154, D73) + COUNTIF($D$2:$D72, D73))</f>
        <v>2</v>
      </c>
      <c r="L74" s="10">
        <f>(SUMIF(Resultados_Apertura!$D$2:$D$154, D73, Resultados_Apertura!$F$2:$F$154) + SUMIF($D$2:$D72, D73, $F$2:$F72)) / (COUNTIF(Resultados_Apertura!$D$2:$D$154, D73) + COUNTIF($D$2:$D72, D73))</f>
        <v>1.1666666666666667</v>
      </c>
      <c r="M74" s="10">
        <f>(SUMIF(Resultados_Apertura!$G$2:$G$154, G73, Resultados_Apertura!$F$2:$F$154) + SUMIF($G$2:$G72, G73, $F$2:$F72)) / (COUNTIF(Resultados_Apertura!$G$2:$G$154, G73) + COUNTIF($G$2:$G72, G73))</f>
        <v>0.90909090909090906</v>
      </c>
      <c r="N74" s="10">
        <f>(SUMIF(Resultados_Apertura!$G$2:$G$154, G73, Resultados_Apertura!$E$2:$E$154) + SUMIF($G$2:$G72, G73, $E$2:$E72)) / (COUNTIF(Resultados_Apertura!$G$2:$G$154, G73) + COUNTIF($G$2:$G72, G73))</f>
        <v>1.8181818181818181</v>
      </c>
      <c r="O74" s="9">
        <f>((K74 * N74) / Formulas!$D$2) * IF(J74&gt;=2000, 1.2, IF(J74&gt;=1000, 1.1, 1))</f>
        <v>2.1818181818181817</v>
      </c>
      <c r="P74" s="9">
        <f>((M74 * L74) / Formulas!$D$6) * IF(J74&gt;=2000, 0.75, IF(J74&gt;=1000, 0.85, 1))</f>
        <v>0.97902097902097907</v>
      </c>
    </row>
    <row r="75" spans="1:16">
      <c r="A75" t="s">
        <v>101</v>
      </c>
      <c r="B75" s="3">
        <v>46276</v>
      </c>
      <c r="C75" t="s">
        <v>89</v>
      </c>
      <c r="D75" t="s">
        <v>23</v>
      </c>
      <c r="E75">
        <v>0</v>
      </c>
      <c r="F75">
        <v>1</v>
      </c>
      <c r="G75" t="s">
        <v>37</v>
      </c>
      <c r="H75" t="s">
        <v>18</v>
      </c>
      <c r="I75">
        <f>VLOOKUP(D75,Resultados_Apertura!$D$2:$J$154,6,FALSE)</f>
        <v>3399</v>
      </c>
      <c r="J75">
        <f>VLOOKUP(G75,Resultados_Apertura!$G$2:$J$154,4,FALSE)</f>
        <v>2335</v>
      </c>
      <c r="K75" s="10">
        <f>(SUMIF(Resultados_Apertura!$D$2:$D$154, D74, Resultados_Apertura!$E$2:$E$154) + SUMIF($D$2:$D73, D74, $E$2:$E73)) / (COUNTIF(Resultados_Apertura!$D$2:$D$154, D74) + COUNTIF($D$2:$D73, D74))</f>
        <v>1.0833333333333333</v>
      </c>
      <c r="L75" s="10">
        <f>(SUMIF(Resultados_Apertura!$D$2:$D$154, D74, Resultados_Apertura!$F$2:$F$154) + SUMIF($D$2:$D73, D74, $F$2:$F73)) / (COUNTIF(Resultados_Apertura!$D$2:$D$154, D74) + COUNTIF($D$2:$D73, D74))</f>
        <v>1.3333333333333333</v>
      </c>
      <c r="M75" s="10">
        <f>(SUMIF(Resultados_Apertura!$G$2:$G$154, G74, Resultados_Apertura!$F$2:$F$154) + SUMIF($G$2:$G73, G74, $F$2:$F73)) / (COUNTIF(Resultados_Apertura!$G$2:$G$154, G74) + COUNTIF($G$2:$G73, G74))</f>
        <v>1.25</v>
      </c>
      <c r="N75" s="10">
        <f>(SUMIF(Resultados_Apertura!$G$2:$G$154, G74, Resultados_Apertura!$E$2:$E$154) + SUMIF($G$2:$G73, G74, $E$2:$E73)) / (COUNTIF(Resultados_Apertura!$G$2:$G$154, G74) + COUNTIF($G$2:$G73, G74))</f>
        <v>2.5</v>
      </c>
      <c r="O75" s="9">
        <f>((K75 * N75) / Formulas!$D$2) * IF(J75&gt;=2000, 1.2, IF(J75&gt;=1000, 1.1, 1))</f>
        <v>1.9499999999999997</v>
      </c>
      <c r="P75" s="9">
        <f>((M75 * L75) / Formulas!$D$6) * IF(J75&gt;=2000, 0.75, IF(J75&gt;=1000, 0.85, 1))</f>
        <v>1.1538461538461537</v>
      </c>
    </row>
    <row r="76" spans="1:16">
      <c r="A76" t="s">
        <v>101</v>
      </c>
      <c r="B76" s="3">
        <v>46277</v>
      </c>
      <c r="C76" t="s">
        <v>90</v>
      </c>
      <c r="D76" t="s">
        <v>35</v>
      </c>
      <c r="E76">
        <v>1</v>
      </c>
      <c r="F76">
        <v>2</v>
      </c>
      <c r="G76" t="s">
        <v>30</v>
      </c>
      <c r="H76" t="s">
        <v>36</v>
      </c>
      <c r="I76">
        <f>VLOOKUP(D76,Resultados_Apertura!$D$2:$J$154,6,FALSE)</f>
        <v>2926</v>
      </c>
      <c r="J76">
        <f>VLOOKUP(G76,Resultados_Apertura!$G$2:$J$154,4,FALSE)</f>
        <v>2750</v>
      </c>
      <c r="K76" s="10">
        <f>(SUMIF(Resultados_Apertura!$D$2:$D$154, D75, Resultados_Apertura!$E$2:$E$154) + SUMIF($D$2:$D74, D75, $E$2:$E74)) / (COUNTIF(Resultados_Apertura!$D$2:$D$154, D75) + COUNTIF($D$2:$D74, D75))</f>
        <v>1.9166666666666667</v>
      </c>
      <c r="L76" s="10">
        <f>(SUMIF(Resultados_Apertura!$D$2:$D$154, D75, Resultados_Apertura!$F$2:$F$154) + SUMIF($D$2:$D74, D75, $F$2:$F74)) / (COUNTIF(Resultados_Apertura!$D$2:$D$154, D75) + COUNTIF($D$2:$D74, D75))</f>
        <v>0.66666666666666663</v>
      </c>
      <c r="M76" s="10">
        <f>(SUMIF(Resultados_Apertura!$G$2:$G$154, G75, Resultados_Apertura!$F$2:$F$154) + SUMIF($G$2:$G74, G75, $F$2:$F74)) / (COUNTIF(Resultados_Apertura!$G$2:$G$154, G75) + COUNTIF($G$2:$G74, G75))</f>
        <v>1.3333333333333333</v>
      </c>
      <c r="N76" s="10">
        <f>(SUMIF(Resultados_Apertura!$G$2:$G$154, G75, Resultados_Apertura!$E$2:$E$154) + SUMIF($G$2:$G74, G75, $E$2:$E74)) / (COUNTIF(Resultados_Apertura!$G$2:$G$154, G75) + COUNTIF($G$2:$G74, G75))</f>
        <v>1.1666666666666667</v>
      </c>
      <c r="O76" s="9">
        <f>((K76 * N76) / Formulas!$D$2) * IF(J76&gt;=2000, 1.2, IF(J76&gt;=1000, 1.1, 1))</f>
        <v>1.6099999999999999</v>
      </c>
      <c r="P76" s="9">
        <f>((M76 * L76) / Formulas!$D$6) * IF(J76&gt;=2000, 0.75, IF(J76&gt;=1000, 0.85, 1))</f>
        <v>0.61538461538461542</v>
      </c>
    </row>
    <row r="77" spans="1:16">
      <c r="A77" t="s">
        <v>101</v>
      </c>
      <c r="B77" s="3">
        <v>46277</v>
      </c>
      <c r="C77" t="s">
        <v>90</v>
      </c>
      <c r="D77" t="s">
        <v>19</v>
      </c>
      <c r="E77">
        <v>0</v>
      </c>
      <c r="F77">
        <v>1</v>
      </c>
      <c r="G77" t="s">
        <v>24</v>
      </c>
      <c r="H77" t="s">
        <v>20</v>
      </c>
      <c r="I77">
        <f>VLOOKUP(D77,Resultados_Apertura!$D$2:$J$154,6,FALSE)</f>
        <v>2637</v>
      </c>
      <c r="J77">
        <f>VLOOKUP(G77,Resultados_Apertura!$G$2:$J$154,4,FALSE)</f>
        <v>3259</v>
      </c>
      <c r="K77" s="10">
        <f>(SUMIF(Resultados_Apertura!$D$2:$D$154, D76, Resultados_Apertura!$E$2:$E$154) + SUMIF($D$2:$D75, D76, $E$2:$E75)) / (COUNTIF(Resultados_Apertura!$D$2:$D$154, D76) + COUNTIF($D$2:$D75, D76))</f>
        <v>1.7692307692307692</v>
      </c>
      <c r="L77" s="10">
        <f>(SUMIF(Resultados_Apertura!$D$2:$D$154, D76, Resultados_Apertura!$F$2:$F$154) + SUMIF($D$2:$D75, D76, $F$2:$F75)) / (COUNTIF(Resultados_Apertura!$D$2:$D$154, D76) + COUNTIF($D$2:$D75, D76))</f>
        <v>1.3076923076923077</v>
      </c>
      <c r="M77" s="10">
        <f>(SUMIF(Resultados_Apertura!$G$2:$G$154, G76, Resultados_Apertura!$F$2:$F$154) + SUMIF($G$2:$G75, G76, $F$2:$F75)) / (COUNTIF(Resultados_Apertura!$G$2:$G$154, G76) + COUNTIF($G$2:$G75, G76))</f>
        <v>1.25</v>
      </c>
      <c r="N77" s="10">
        <f>(SUMIF(Resultados_Apertura!$G$2:$G$154, G76, Resultados_Apertura!$E$2:$E$154) + SUMIF($G$2:$G75, G76, $E$2:$E75)) / (COUNTIF(Resultados_Apertura!$G$2:$G$154, G76) + COUNTIF($G$2:$G75, G76))</f>
        <v>1.75</v>
      </c>
      <c r="O77" s="9">
        <f>((K77 * N77) / Formulas!$D$2) * IF(J77&gt;=2000, 1.2, IF(J77&gt;=1000, 1.1, 1))</f>
        <v>2.2292307692307687</v>
      </c>
      <c r="P77" s="9">
        <f>((M77 * L77) / Formulas!$D$6) * IF(J77&gt;=2000, 0.75, IF(J77&gt;=1000, 0.85, 1))</f>
        <v>1.1316568047337279</v>
      </c>
    </row>
    <row r="78" spans="1:16">
      <c r="A78" t="s">
        <v>101</v>
      </c>
      <c r="B78" s="3">
        <v>46277</v>
      </c>
      <c r="C78" t="s">
        <v>90</v>
      </c>
      <c r="D78" t="s">
        <v>27</v>
      </c>
      <c r="E78">
        <v>1</v>
      </c>
      <c r="F78">
        <v>2</v>
      </c>
      <c r="G78" t="s">
        <v>42</v>
      </c>
      <c r="H78" t="s">
        <v>28</v>
      </c>
      <c r="I78">
        <f>VLOOKUP(D78,Resultados_Apertura!$D$2:$J$154,6,FALSE)</f>
        <v>1410</v>
      </c>
      <c r="J78">
        <f>VLOOKUP(G78,Resultados_Apertura!$G$2:$J$154,4,FALSE)</f>
        <v>150</v>
      </c>
      <c r="K78" s="10">
        <f>(SUMIF(Resultados_Apertura!$D$2:$D$154, D77, Resultados_Apertura!$E$2:$E$154) + SUMIF($D$2:$D76, D77, $E$2:$E76)) / (COUNTIF(Resultados_Apertura!$D$2:$D$154, D77) + COUNTIF($D$2:$D76, D77))</f>
        <v>1.3333333333333333</v>
      </c>
      <c r="L78" s="10">
        <f>(SUMIF(Resultados_Apertura!$D$2:$D$154, D77, Resultados_Apertura!$F$2:$F$154) + SUMIF($D$2:$D76, D77, $F$2:$F76)) / (COUNTIF(Resultados_Apertura!$D$2:$D$154, D77) + COUNTIF($D$2:$D76, D77))</f>
        <v>0.91666666666666663</v>
      </c>
      <c r="M78" s="10">
        <f>(SUMIF(Resultados_Apertura!$G$2:$G$154, G77, Resultados_Apertura!$F$2:$F$154) + SUMIF($G$2:$G76, G77, $F$2:$F76)) / (COUNTIF(Resultados_Apertura!$G$2:$G$154, G77) + COUNTIF($G$2:$G76, G77))</f>
        <v>1.2307692307692308</v>
      </c>
      <c r="N78" s="10">
        <f>(SUMIF(Resultados_Apertura!$G$2:$G$154, G77, Resultados_Apertura!$E$2:$E$154) + SUMIF($G$2:$G76, G77, $E$2:$E76)) / (COUNTIF(Resultados_Apertura!$G$2:$G$154, G77) + COUNTIF($G$2:$G76, G77))</f>
        <v>2.2307692307692308</v>
      </c>
      <c r="O78" s="9">
        <f>((K78 * N78) / Formulas!$D$2) * IF(J78&gt;=2000, 1.2, IF(J78&gt;=1000, 1.1, 1))</f>
        <v>1.7846153846153845</v>
      </c>
      <c r="P78" s="9">
        <f>((M78 * L78) / Formulas!$D$6) * IF(J78&gt;=2000, 0.75, IF(J78&gt;=1000, 0.85, 1))</f>
        <v>1.0414201183431953</v>
      </c>
    </row>
    <row r="79" spans="1:16">
      <c r="A79" t="s">
        <v>101</v>
      </c>
      <c r="B79" s="3">
        <v>46278</v>
      </c>
      <c r="C79" t="s">
        <v>91</v>
      </c>
      <c r="D79" t="s">
        <v>12</v>
      </c>
      <c r="E79">
        <v>1</v>
      </c>
      <c r="F79">
        <v>2</v>
      </c>
      <c r="G79" t="s">
        <v>43</v>
      </c>
      <c r="H79" t="s">
        <v>13</v>
      </c>
      <c r="I79">
        <f>VLOOKUP(D79,Resultados_Apertura!$D$2:$J$154,6,FALSE)</f>
        <v>150</v>
      </c>
      <c r="J79">
        <f>VLOOKUP(G79,Resultados_Apertura!$G$2:$J$154,4,FALSE)</f>
        <v>150</v>
      </c>
      <c r="K79" s="10">
        <f>(SUMIF(Resultados_Apertura!$D$2:$D$154, D78, Resultados_Apertura!$E$2:$E$154) + SUMIF($D$2:$D77, D78, $E$2:$E77)) / (COUNTIF(Resultados_Apertura!$D$2:$D$154, D78) + COUNTIF($D$2:$D77, D78))</f>
        <v>1.4166666666666667</v>
      </c>
      <c r="L79" s="10">
        <f>(SUMIF(Resultados_Apertura!$D$2:$D$154, D78, Resultados_Apertura!$F$2:$F$154) + SUMIF($D$2:$D77, D78, $F$2:$F77)) / (COUNTIF(Resultados_Apertura!$D$2:$D$154, D78) + COUNTIF($D$2:$D77, D78))</f>
        <v>1.3333333333333333</v>
      </c>
      <c r="M79" s="10">
        <f>(SUMIF(Resultados_Apertura!$G$2:$G$154, G78, Resultados_Apertura!$F$2:$F$154) + SUMIF($G$2:$G77, G78, $F$2:$F77)) / (COUNTIF(Resultados_Apertura!$G$2:$G$154, G78) + COUNTIF($G$2:$G77, G78))</f>
        <v>1.0769230769230769</v>
      </c>
      <c r="N79" s="10">
        <f>(SUMIF(Resultados_Apertura!$G$2:$G$154, G78, Resultados_Apertura!$E$2:$E$154) + SUMIF($G$2:$G77, G78, $E$2:$E77)) / (COUNTIF(Resultados_Apertura!$G$2:$G$154, G78) + COUNTIF($G$2:$G77, G78))</f>
        <v>1.9230769230769231</v>
      </c>
      <c r="O79" s="9">
        <f>((K79 * N79) / Formulas!$D$2) * IF(J79&gt;=2000, 1.2, IF(J79&gt;=1000, 1.1, 1))</f>
        <v>1.6346153846153846</v>
      </c>
      <c r="P79" s="9">
        <f>((M79 * L79) / Formulas!$D$6) * IF(J79&gt;=2000, 0.75, IF(J79&gt;=1000, 0.85, 1))</f>
        <v>1.3254437869822484</v>
      </c>
    </row>
    <row r="80" spans="1:16">
      <c r="A80" t="s">
        <v>101</v>
      </c>
      <c r="B80" s="3">
        <v>46278</v>
      </c>
      <c r="C80" t="s">
        <v>91</v>
      </c>
      <c r="D80" t="s">
        <v>39</v>
      </c>
      <c r="E80">
        <v>1</v>
      </c>
      <c r="F80">
        <v>0</v>
      </c>
      <c r="G80" t="s">
        <v>26</v>
      </c>
      <c r="H80" t="s">
        <v>40</v>
      </c>
      <c r="I80">
        <f>VLOOKUP(D80,Resultados_Apertura!$D$2:$J$154,6,FALSE)</f>
        <v>5</v>
      </c>
      <c r="J80">
        <f>VLOOKUP(G80,Resultados_Apertura!$G$2:$J$154,4,FALSE)</f>
        <v>3399</v>
      </c>
      <c r="K80" s="10">
        <f>(SUMIF(Resultados_Apertura!$D$2:$D$154, D79, Resultados_Apertura!$E$2:$E$154) + SUMIF($D$2:$D78, D79, $E$2:$E78)) / (COUNTIF(Resultados_Apertura!$D$2:$D$154, D79) + COUNTIF($D$2:$D78, D79))</f>
        <v>2.3333333333333335</v>
      </c>
      <c r="L80" s="10">
        <f>(SUMIF(Resultados_Apertura!$D$2:$D$154, D79, Resultados_Apertura!$F$2:$F$154) + SUMIF($D$2:$D78, D79, $F$2:$F78)) / (COUNTIF(Resultados_Apertura!$D$2:$D$154, D79) + COUNTIF($D$2:$D78, D79))</f>
        <v>0.58333333333333337</v>
      </c>
      <c r="M80" s="10">
        <f>(SUMIF(Resultados_Apertura!$G$2:$G$154, G79, Resultados_Apertura!$F$2:$F$154) + SUMIF($G$2:$G78, G79, $F$2:$F78)) / (COUNTIF(Resultados_Apertura!$G$2:$G$154, G79) + COUNTIF($G$2:$G78, G79))</f>
        <v>1.5</v>
      </c>
      <c r="N80" s="10">
        <f>(SUMIF(Resultados_Apertura!$G$2:$G$154, G79, Resultados_Apertura!$E$2:$E$154) + SUMIF($G$2:$G78, G79, $E$2:$E78)) / (COUNTIF(Resultados_Apertura!$G$2:$G$154, G79) + COUNTIF($G$2:$G78, G79))</f>
        <v>1.3333333333333333</v>
      </c>
      <c r="O80" s="9">
        <f>((K80 * N80) / Formulas!$D$2) * IF(J80&gt;=2000, 1.2, IF(J80&gt;=1000, 1.1, 1))</f>
        <v>2.2399999999999998</v>
      </c>
      <c r="P80" s="9">
        <f>((M80 * L80) / Formulas!$D$6) * IF(J80&gt;=2000, 0.75, IF(J80&gt;=1000, 0.85, 1))</f>
        <v>0.60576923076923084</v>
      </c>
    </row>
    <row r="81" spans="1:16">
      <c r="A81" t="s">
        <v>101</v>
      </c>
      <c r="B81" s="3">
        <v>46278</v>
      </c>
      <c r="C81" t="s">
        <v>91</v>
      </c>
      <c r="D81" t="s">
        <v>15</v>
      </c>
      <c r="E81">
        <v>3</v>
      </c>
      <c r="F81">
        <v>1</v>
      </c>
      <c r="G81" t="s">
        <v>9</v>
      </c>
      <c r="H81" t="s">
        <v>10</v>
      </c>
      <c r="I81">
        <f>VLOOKUP(D81,Resultados_Apertura!$D$2:$J$154,6,FALSE)</f>
        <v>29</v>
      </c>
      <c r="J81">
        <f>VLOOKUP(G81,Resultados_Apertura!$G$2:$J$154,4,FALSE)</f>
        <v>60</v>
      </c>
      <c r="K81" s="10">
        <f>(SUMIF(Resultados_Apertura!$D$2:$D$154, D80, Resultados_Apertura!$E$2:$E$154) + SUMIF($D$2:$D79, D80, $E$2:$E79)) / (COUNTIF(Resultados_Apertura!$D$2:$D$154, D80) + COUNTIF($D$2:$D79, D80))</f>
        <v>1.3846153846153846</v>
      </c>
      <c r="L81" s="10">
        <f>(SUMIF(Resultados_Apertura!$D$2:$D$154, D80, Resultados_Apertura!$F$2:$F$154) + SUMIF($D$2:$D79, D80, $F$2:$F79)) / (COUNTIF(Resultados_Apertura!$D$2:$D$154, D80) + COUNTIF($D$2:$D79, D80))</f>
        <v>0.53846153846153844</v>
      </c>
      <c r="M81" s="10">
        <f>(SUMIF(Resultados_Apertura!$G$2:$G$154, G80, Resultados_Apertura!$F$2:$F$154) + SUMIF($G$2:$G79, G80, $F$2:$F79)) / (COUNTIF(Resultados_Apertura!$G$2:$G$154, G80) + COUNTIF($G$2:$G79, G80))</f>
        <v>0.5</v>
      </c>
      <c r="N81" s="10">
        <f>(SUMIF(Resultados_Apertura!$G$2:$G$154, G80, Resultados_Apertura!$E$2:$E$154) + SUMIF($G$2:$G79, G80, $E$2:$E79)) / (COUNTIF(Resultados_Apertura!$G$2:$G$154, G80) + COUNTIF($G$2:$G79, G80))</f>
        <v>0.83333333333333337</v>
      </c>
      <c r="O81" s="9">
        <f>((K81 * N81) / Formulas!$D$2) * IF(J81&gt;=2000, 1.2, IF(J81&gt;=1000, 1.1, 1))</f>
        <v>0.6923076923076924</v>
      </c>
      <c r="P81" s="9">
        <f>((M81 * L81) / Formulas!$D$6) * IF(J81&gt;=2000, 0.75, IF(J81&gt;=1000, 0.85, 1))</f>
        <v>0.24852071005917159</v>
      </c>
    </row>
    <row r="82" spans="1:16">
      <c r="A82" t="s">
        <v>101</v>
      </c>
      <c r="B82" s="3">
        <v>46288</v>
      </c>
      <c r="C82" t="s">
        <v>145</v>
      </c>
      <c r="D82" t="s">
        <v>5</v>
      </c>
      <c r="E82">
        <v>2</v>
      </c>
      <c r="F82">
        <v>1</v>
      </c>
      <c r="G82" t="s">
        <v>17</v>
      </c>
      <c r="H82" t="s">
        <v>6</v>
      </c>
      <c r="I82">
        <f>VLOOKUP(D82,Resultados_Apertura!$D$2:$J$154,6,FALSE)</f>
        <v>3050</v>
      </c>
      <c r="J82">
        <f>VLOOKUP(G82,Resultados_Apertura!$G$2:$J$154,4,FALSE)</f>
        <v>3399</v>
      </c>
      <c r="K82" s="10">
        <f>(SUMIF(Resultados_Apertura!$D$2:$D$154, D81, Resultados_Apertura!$E$2:$E$154) + SUMIF($D$2:$D80, D81, $E$2:$E80)) / (COUNTIF(Resultados_Apertura!$D$2:$D$154, D81) + COUNTIF($D$2:$D80, D81))</f>
        <v>1.0833333333333333</v>
      </c>
      <c r="L82" s="10">
        <f>(SUMIF(Resultados_Apertura!$D$2:$D$154, D81, Resultados_Apertura!$F$2:$F$154) + SUMIF($D$2:$D80, D81, $F$2:$F80)) / (COUNTIF(Resultados_Apertura!$D$2:$D$154, D81) + COUNTIF($D$2:$D80, D81))</f>
        <v>0.66666666666666663</v>
      </c>
      <c r="M82" s="10">
        <f>(SUMIF(Resultados_Apertura!$G$2:$G$154, G81, Resultados_Apertura!$F$2:$F$154) + SUMIF($G$2:$G80, G81, $F$2:$F80)) / (COUNTIF(Resultados_Apertura!$G$2:$G$154, G81) + COUNTIF($G$2:$G80, G81))</f>
        <v>1.2307692307692308</v>
      </c>
      <c r="N82" s="10">
        <f>(SUMIF(Resultados_Apertura!$G$2:$G$154, G81, Resultados_Apertura!$E$2:$E$154) + SUMIF($G$2:$G80, G81, $E$2:$E80)) / (COUNTIF(Resultados_Apertura!$G$2:$G$154, G81) + COUNTIF($G$2:$G80, G81))</f>
        <v>1.6923076923076923</v>
      </c>
      <c r="O82" s="9">
        <f>((K82 * N82) / Formulas!$D$2) * IF(J82&gt;=2000, 1.2, IF(J82&gt;=1000, 1.1, 1))</f>
        <v>1.3199999999999998</v>
      </c>
      <c r="P82" s="9">
        <f>((M82 * L82) / Formulas!$D$6) * IF(J82&gt;=2000, 0.75, IF(J82&gt;=1000, 0.85, 1))</f>
        <v>0.56804733727810652</v>
      </c>
    </row>
    <row r="83" spans="1:16">
      <c r="A83" t="s">
        <v>102</v>
      </c>
      <c r="B83" s="3">
        <v>46283</v>
      </c>
      <c r="C83" t="s">
        <v>89</v>
      </c>
      <c r="D83" t="s">
        <v>9</v>
      </c>
      <c r="E83">
        <v>2</v>
      </c>
      <c r="F83">
        <v>1</v>
      </c>
      <c r="G83" t="s">
        <v>19</v>
      </c>
      <c r="H83" t="s">
        <v>10</v>
      </c>
      <c r="I83">
        <f>VLOOKUP(D83,Resultados_Apertura!$D$2:$J$154,6,FALSE)</f>
        <v>60</v>
      </c>
      <c r="J83">
        <f>VLOOKUP(G83,Resultados_Apertura!$G$2:$J$154,4,FALSE)</f>
        <v>2637</v>
      </c>
      <c r="K83" s="10">
        <f>(SUMIF(Resultados_Apertura!$D$2:$D$154, D81, Resultados_Apertura!$E$2:$E$154) + SUMIF($D$2:$D80, D81, $E$2:$E80)) / (COUNTIF(Resultados_Apertura!$D$2:$D$154, D81) + COUNTIF($D$2:$D80, D81))</f>
        <v>1.0833333333333333</v>
      </c>
      <c r="L83" s="10">
        <f>(SUMIF(Resultados_Apertura!$D$2:$D$154, D81, Resultados_Apertura!$F$2:$F$154) + SUMIF($D$2:$D80, D81, $F$2:$F80)) / (COUNTIF(Resultados_Apertura!$D$2:$D$154, D81) + COUNTIF($D$2:$D80, D81))</f>
        <v>0.66666666666666663</v>
      </c>
      <c r="M83" s="10">
        <f>(SUMIF(Resultados_Apertura!$G$2:$G$154, G81, Resultados_Apertura!$F$2:$F$154) + SUMIF($G$2:$G80, G81, $F$2:$F80)) / (COUNTIF(Resultados_Apertura!$G$2:$G$154, G81) + COUNTIF($G$2:$G80, G81))</f>
        <v>1.2307692307692308</v>
      </c>
      <c r="N83" s="10">
        <f>(SUMIF(Resultados_Apertura!$G$2:$G$154, G81, Resultados_Apertura!$E$2:$E$154) + SUMIF($G$2:$G80, G81, $E$2:$E80)) / (COUNTIF(Resultados_Apertura!$G$2:$G$154, G81) + COUNTIF($G$2:$G80, G81))</f>
        <v>1.6923076923076923</v>
      </c>
      <c r="O83" s="9">
        <f>((K83 * N83) / Formulas!$D$2) * IF(J83&gt;=2000, 1.2, IF(J83&gt;=1000, 1.1, 1))</f>
        <v>1.3199999999999998</v>
      </c>
      <c r="P83" s="9">
        <f>((M83 * L83) / Formulas!$D$6) * IF(J83&gt;=2000, 0.75, IF(J83&gt;=1000, 0.85, 1))</f>
        <v>0.56804733727810652</v>
      </c>
    </row>
    <row r="84" spans="1:16">
      <c r="A84" t="s">
        <v>102</v>
      </c>
      <c r="B84" s="3">
        <v>46283</v>
      </c>
      <c r="C84" t="s">
        <v>89</v>
      </c>
      <c r="D84" t="s">
        <v>12</v>
      </c>
      <c r="E84">
        <v>2</v>
      </c>
      <c r="F84">
        <v>0</v>
      </c>
      <c r="G84" t="s">
        <v>5</v>
      </c>
      <c r="H84" t="s">
        <v>13</v>
      </c>
      <c r="I84">
        <f>VLOOKUP(D84,Resultados_Apertura!$D$2:$J$154,6,FALSE)</f>
        <v>150</v>
      </c>
      <c r="J84">
        <f>VLOOKUP(G84,Resultados_Apertura!$G$2:$J$154,4,FALSE)</f>
        <v>3050</v>
      </c>
      <c r="K84" s="10">
        <f>(SUMIF(Resultados_Apertura!$D$2:$D$154, D83, Resultados_Apertura!$E$2:$E$154) + SUMIF($D$2:$D81, D83, $E$2:$E81)) / (COUNTIF(Resultados_Apertura!$D$2:$D$154, D83) + COUNTIF($D$2:$D81, D83))</f>
        <v>1.75</v>
      </c>
      <c r="L84" s="10">
        <f>(SUMIF(Resultados_Apertura!$D$2:$D$154, D83, Resultados_Apertura!$F$2:$F$154) + SUMIF($D$2:$D81, D83, $F$2:$F81)) / (COUNTIF(Resultados_Apertura!$D$2:$D$154, D83) + COUNTIF($D$2:$D81, D83))</f>
        <v>0.75</v>
      </c>
      <c r="M84" s="10">
        <f>(SUMIF(Resultados_Apertura!$G$2:$G$154, G83, Resultados_Apertura!$F$2:$F$154) + SUMIF($G$2:$G81, G83, $F$2:$F81)) / (COUNTIF(Resultados_Apertura!$G$2:$G$154, G83) + COUNTIF($G$2:$G81, G83))</f>
        <v>1.3846153846153846</v>
      </c>
      <c r="N84" s="10">
        <f>(SUMIF(Resultados_Apertura!$G$2:$G$154, G83, Resultados_Apertura!$E$2:$E$154) + SUMIF($G$2:$G81, G83, $E$2:$E81)) / (COUNTIF(Resultados_Apertura!$G$2:$G$154, G83) + COUNTIF($G$2:$G81, G83))</f>
        <v>1.8461538461538463</v>
      </c>
      <c r="O84" s="9">
        <f>((K84 * N84) / Formulas!$D$2) * IF(J84&gt;=2000, 1.2, IF(J84&gt;=1000, 1.1, 1))</f>
        <v>2.3261538461538462</v>
      </c>
      <c r="P84" s="9">
        <f>((M84 * L84) / Formulas!$D$6) * IF(J84&gt;=2000, 0.75, IF(J84&gt;=1000, 0.85, 1))</f>
        <v>0.71893491124260345</v>
      </c>
    </row>
    <row r="85" spans="1:16">
      <c r="A85" t="s">
        <v>102</v>
      </c>
      <c r="B85" s="3">
        <v>46284</v>
      </c>
      <c r="C85" t="s">
        <v>90</v>
      </c>
      <c r="D85" t="s">
        <v>30</v>
      </c>
      <c r="E85">
        <v>1</v>
      </c>
      <c r="F85">
        <v>2</v>
      </c>
      <c r="G85" t="s">
        <v>23</v>
      </c>
      <c r="H85" t="s">
        <v>31</v>
      </c>
      <c r="I85">
        <f>VLOOKUP(D85,Resultados_Apertura!$D$2:$J$154,6,FALSE)</f>
        <v>2750</v>
      </c>
      <c r="J85">
        <f>VLOOKUP(G85,Resultados_Apertura!$G$2:$J$154,4,FALSE)</f>
        <v>3399</v>
      </c>
      <c r="K85" s="10">
        <f>(SUMIF(Resultados_Apertura!$D$2:$D$154, D84, Resultados_Apertura!$E$2:$E$154) + SUMIF($D$2:$D83, D84, $E$2:$E83)) / (COUNTIF(Resultados_Apertura!$D$2:$D$154, D84) + COUNTIF($D$2:$D83, D84))</f>
        <v>2.2307692307692308</v>
      </c>
      <c r="L85" s="10">
        <f>(SUMIF(Resultados_Apertura!$D$2:$D$154, D84, Resultados_Apertura!$F$2:$F$154) + SUMIF($D$2:$D83, D84, $F$2:$F83)) / (COUNTIF(Resultados_Apertura!$D$2:$D$154, D84) + COUNTIF($D$2:$D83, D84))</f>
        <v>0.69230769230769229</v>
      </c>
      <c r="M85" s="10">
        <f>(SUMIF(Resultados_Apertura!$G$2:$G$154, G84, Resultados_Apertura!$F$2:$F$154) + SUMIF($G$2:$G83, G84, $F$2:$F83)) / (COUNTIF(Resultados_Apertura!$G$2:$G$154, G84) + COUNTIF($G$2:$G83, G84))</f>
        <v>0.83333333333333337</v>
      </c>
      <c r="N85" s="10">
        <f>(SUMIF(Resultados_Apertura!$G$2:$G$154, G84, Resultados_Apertura!$E$2:$E$154) + SUMIF($G$2:$G83, G84, $E$2:$E83)) / (COUNTIF(Resultados_Apertura!$G$2:$G$154, G84) + COUNTIF($G$2:$G83, G84))</f>
        <v>1.9166666666666667</v>
      </c>
      <c r="O85" s="9">
        <f>((K85 * N85) / Formulas!$D$2) * IF(J85&gt;=2000, 1.2, IF(J85&gt;=1000, 1.1, 1))</f>
        <v>3.0784615384615379</v>
      </c>
      <c r="P85" s="9">
        <f>((M85 * L85) / Formulas!$D$6) * IF(J85&gt;=2000, 0.75, IF(J85&gt;=1000, 0.85, 1))</f>
        <v>0.39940828402366868</v>
      </c>
    </row>
    <row r="86" spans="1:16">
      <c r="A86" t="s">
        <v>102</v>
      </c>
      <c r="B86" s="3">
        <v>46284</v>
      </c>
      <c r="C86" t="s">
        <v>90</v>
      </c>
      <c r="D86" t="s">
        <v>42</v>
      </c>
      <c r="E86">
        <v>3</v>
      </c>
      <c r="F86">
        <v>1</v>
      </c>
      <c r="G86" t="s">
        <v>15</v>
      </c>
      <c r="H86" t="s">
        <v>13</v>
      </c>
      <c r="I86">
        <f>VLOOKUP(D86,Resultados_Apertura!$D$2:$J$154,6,FALSE)</f>
        <v>150</v>
      </c>
      <c r="J86">
        <f>VLOOKUP(G86,Resultados_Apertura!$G$2:$J$154,4,FALSE)</f>
        <v>29</v>
      </c>
      <c r="K86" s="10">
        <f>(SUMIF(Resultados_Apertura!$D$2:$D$154, D85, Resultados_Apertura!$E$2:$E$154) + SUMIF($D$2:$D84, D85, $E$2:$E84)) / (COUNTIF(Resultados_Apertura!$D$2:$D$154, D85) + COUNTIF($D$2:$D84, D85))</f>
        <v>1.7692307692307692</v>
      </c>
      <c r="L86" s="10">
        <f>(SUMIF(Resultados_Apertura!$D$2:$D$154, D85, Resultados_Apertura!$F$2:$F$154) + SUMIF($D$2:$D84, D85, $F$2:$F84)) / (COUNTIF(Resultados_Apertura!$D$2:$D$154, D85) + COUNTIF($D$2:$D84, D85))</f>
        <v>2.1538461538461537</v>
      </c>
      <c r="M86" s="10">
        <f>(SUMIF(Resultados_Apertura!$G$2:$G$154, G85, Resultados_Apertura!$F$2:$F$154) + SUMIF($G$2:$G84, G85, $F$2:$F84)) / (COUNTIF(Resultados_Apertura!$G$2:$G$154, G85) + COUNTIF($G$2:$G84, G85))</f>
        <v>1.1538461538461537</v>
      </c>
      <c r="N86" s="10">
        <f>(SUMIF(Resultados_Apertura!$G$2:$G$154, G85, Resultados_Apertura!$E$2:$E$154) + SUMIF($G$2:$G84, G85, $E$2:$E84)) / (COUNTIF(Resultados_Apertura!$G$2:$G$154, G85) + COUNTIF($G$2:$G84, G85))</f>
        <v>2.1538461538461537</v>
      </c>
      <c r="O86" s="9">
        <f>((K86 * N86) / Formulas!$D$2) * IF(J86&gt;=2000, 1.2, IF(J86&gt;=1000, 1.1, 1))</f>
        <v>2.2863905325443783</v>
      </c>
      <c r="P86" s="9">
        <f>((M86 * L86) / Formulas!$D$6) * IF(J86&gt;=2000, 0.75, IF(J86&gt;=1000, 0.85, 1))</f>
        <v>2.2940373236231224</v>
      </c>
    </row>
    <row r="87" spans="1:16">
      <c r="A87" t="s">
        <v>102</v>
      </c>
      <c r="B87" s="3">
        <v>46284</v>
      </c>
      <c r="C87" t="s">
        <v>90</v>
      </c>
      <c r="D87" t="s">
        <v>26</v>
      </c>
      <c r="E87">
        <v>4</v>
      </c>
      <c r="F87">
        <v>0</v>
      </c>
      <c r="G87" t="s">
        <v>43</v>
      </c>
      <c r="H87" t="s">
        <v>18</v>
      </c>
      <c r="I87">
        <f>VLOOKUP(D87,Resultados_Apertura!$D$2:$J$154,6,FALSE)</f>
        <v>3399</v>
      </c>
      <c r="J87">
        <f>VLOOKUP(G87,Resultados_Apertura!$G$2:$J$154,4,FALSE)</f>
        <v>150</v>
      </c>
      <c r="K87" s="10">
        <f>(SUMIF(Resultados_Apertura!$D$2:$D$154, D86, Resultados_Apertura!$E$2:$E$154) + SUMIF($D$2:$D85, D86, $E$2:$E85)) / (COUNTIF(Resultados_Apertura!$D$2:$D$154, D86) + COUNTIF($D$2:$D85, D86))</f>
        <v>2.4166666666666665</v>
      </c>
      <c r="L87" s="10">
        <f>(SUMIF(Resultados_Apertura!$D$2:$D$154, D86, Resultados_Apertura!$F$2:$F$154) + SUMIF($D$2:$D85, D86, $F$2:$F85)) / (COUNTIF(Resultados_Apertura!$D$2:$D$154, D86) + COUNTIF($D$2:$D85, D86))</f>
        <v>1.0833333333333333</v>
      </c>
      <c r="M87" s="10">
        <f>(SUMIF(Resultados_Apertura!$G$2:$G$154, G86, Resultados_Apertura!$F$2:$F$154) + SUMIF($G$2:$G85, G86, $F$2:$F85)) / (COUNTIF(Resultados_Apertura!$G$2:$G$154, G86) + COUNTIF($G$2:$G85, G86))</f>
        <v>0.69230769230769229</v>
      </c>
      <c r="N87" s="10">
        <f>(SUMIF(Resultados_Apertura!$G$2:$G$154, G86, Resultados_Apertura!$E$2:$E$154) + SUMIF($G$2:$G85, G86, $E$2:$E85)) / (COUNTIF(Resultados_Apertura!$G$2:$G$154, G86) + COUNTIF($G$2:$G85, G86))</f>
        <v>1.4615384615384615</v>
      </c>
      <c r="O87" s="9">
        <f>((K87 * N87) / Formulas!$D$2) * IF(J87&gt;=2000, 1.2, IF(J87&gt;=1000, 1.1, 1))</f>
        <v>2.1192307692307688</v>
      </c>
      <c r="P87" s="9">
        <f>((M87 * L87) / Formulas!$D$6) * IF(J87&gt;=2000, 0.75, IF(J87&gt;=1000, 0.85, 1))</f>
        <v>0.69230769230769229</v>
      </c>
    </row>
    <row r="88" spans="1:16">
      <c r="A88" t="s">
        <v>102</v>
      </c>
      <c r="B88" s="3">
        <v>46284</v>
      </c>
      <c r="C88" t="s">
        <v>90</v>
      </c>
      <c r="D88" t="s">
        <v>37</v>
      </c>
      <c r="E88">
        <v>1</v>
      </c>
      <c r="F88">
        <v>1</v>
      </c>
      <c r="G88" t="s">
        <v>39</v>
      </c>
      <c r="H88" t="s">
        <v>38</v>
      </c>
      <c r="I88">
        <f>VLOOKUP(D88,Resultados_Apertura!$D$2:$J$154,6,FALSE)</f>
        <v>2335</v>
      </c>
      <c r="J88">
        <f>VLOOKUP(G88,Resultados_Apertura!$G$2:$J$154,4,FALSE)</f>
        <v>5</v>
      </c>
      <c r="K88" s="10">
        <f>(SUMIF(Resultados_Apertura!$D$2:$D$154, D87, Resultados_Apertura!$E$2:$E$154) + SUMIF($D$2:$D86, D87, $E$2:$E86)) / (COUNTIF(Resultados_Apertura!$D$2:$D$154, D87) + COUNTIF($D$2:$D86, D87))</f>
        <v>2.2307692307692308</v>
      </c>
      <c r="L88" s="10">
        <f>(SUMIF(Resultados_Apertura!$D$2:$D$154, D87, Resultados_Apertura!$F$2:$F$154) + SUMIF($D$2:$D86, D87, $F$2:$F86)) / (COUNTIF(Resultados_Apertura!$D$2:$D$154, D87) + COUNTIF($D$2:$D86, D87))</f>
        <v>1</v>
      </c>
      <c r="M88" s="10">
        <f>(SUMIF(Resultados_Apertura!$G$2:$G$154, G87, Resultados_Apertura!$F$2:$F$154) + SUMIF($G$2:$G86, G87, $F$2:$F86)) / (COUNTIF(Resultados_Apertura!$G$2:$G$154, G87) + COUNTIF($G$2:$G86, G87))</f>
        <v>1.5384615384615385</v>
      </c>
      <c r="N88" s="10">
        <f>(SUMIF(Resultados_Apertura!$G$2:$G$154, G87, Resultados_Apertura!$E$2:$E$154) + SUMIF($G$2:$G86, G87, $E$2:$E86)) / (COUNTIF(Resultados_Apertura!$G$2:$G$154, G87) + COUNTIF($G$2:$G86, G87))</f>
        <v>1.3076923076923077</v>
      </c>
      <c r="O88" s="9">
        <f>((K88 * N88) / Formulas!$D$2) * IF(J88&gt;=2000, 1.2, IF(J88&gt;=1000, 1.1, 1))</f>
        <v>1.7502958579881656</v>
      </c>
      <c r="P88" s="9">
        <f>((M88 * L88) / Formulas!$D$6) * IF(J88&gt;=2000, 0.75, IF(J88&gt;=1000, 0.85, 1))</f>
        <v>1.4201183431952664</v>
      </c>
    </row>
    <row r="89" spans="1:16">
      <c r="A89" t="s">
        <v>102</v>
      </c>
      <c r="B89" s="3">
        <v>46285</v>
      </c>
      <c r="C89" t="s">
        <v>91</v>
      </c>
      <c r="D89" t="s">
        <v>24</v>
      </c>
      <c r="E89">
        <v>3</v>
      </c>
      <c r="F89">
        <v>2</v>
      </c>
      <c r="G89" t="s">
        <v>44</v>
      </c>
      <c r="H89" t="s">
        <v>25</v>
      </c>
      <c r="I89">
        <f>VLOOKUP(D89,Resultados_Apertura!$D$2:$J$154,6,FALSE)</f>
        <v>3259</v>
      </c>
      <c r="J89">
        <f>VLOOKUP(G89,Resultados_Apertura!$G$2:$J$154,4,FALSE)</f>
        <v>2750</v>
      </c>
      <c r="K89" s="10">
        <f>(SUMIF(Resultados_Apertura!$D$2:$D$154, D88, Resultados_Apertura!$E$2:$E$154) + SUMIF($D$2:$D87, D88, $E$2:$E87)) / (COUNTIF(Resultados_Apertura!$D$2:$D$154, D88) + COUNTIF($D$2:$D87, D88))</f>
        <v>2.0769230769230771</v>
      </c>
      <c r="L89" s="10">
        <f>(SUMIF(Resultados_Apertura!$D$2:$D$154, D88, Resultados_Apertura!$F$2:$F$154) + SUMIF($D$2:$D87, D88, $F$2:$F87)) / (COUNTIF(Resultados_Apertura!$D$2:$D$154, D88) + COUNTIF($D$2:$D87, D88))</f>
        <v>1.0769230769230769</v>
      </c>
      <c r="M89" s="10">
        <f>(SUMIF(Resultados_Apertura!$G$2:$G$154, G88, Resultados_Apertura!$F$2:$F$154) + SUMIF($G$2:$G87, G88, $F$2:$F87)) / (COUNTIF(Resultados_Apertura!$G$2:$G$154, G88) + COUNTIF($G$2:$G87, G88))</f>
        <v>0.75</v>
      </c>
      <c r="N89" s="10">
        <f>(SUMIF(Resultados_Apertura!$G$2:$G$154, G88, Resultados_Apertura!$E$2:$E$154) + SUMIF($G$2:$G87, G88, $E$2:$E87)) / (COUNTIF(Resultados_Apertura!$G$2:$G$154, G88) + COUNTIF($G$2:$G87, G88))</f>
        <v>1.5</v>
      </c>
      <c r="O89" s="9">
        <f>((K89 * N89) / Formulas!$D$2) * IF(J89&gt;=2000, 1.2, IF(J89&gt;=1000, 1.1, 1))</f>
        <v>2.2430769230769232</v>
      </c>
      <c r="P89" s="9">
        <f>((M89 * L89) / Formulas!$D$6) * IF(J89&gt;=2000, 0.75, IF(J89&gt;=1000, 0.85, 1))</f>
        <v>0.55917159763313617</v>
      </c>
    </row>
    <row r="90" spans="1:16">
      <c r="A90" t="s">
        <v>102</v>
      </c>
      <c r="B90" s="3">
        <v>46285</v>
      </c>
      <c r="C90" t="s">
        <v>91</v>
      </c>
      <c r="D90" t="s">
        <v>32</v>
      </c>
      <c r="E90">
        <v>4</v>
      </c>
      <c r="F90">
        <v>0</v>
      </c>
      <c r="G90" t="s">
        <v>27</v>
      </c>
      <c r="H90" t="s">
        <v>33</v>
      </c>
      <c r="I90">
        <f>VLOOKUP(D90,Resultados_Apertura!$D$2:$J$154,6,FALSE)</f>
        <v>209</v>
      </c>
      <c r="J90">
        <f>VLOOKUP(G90,Resultados_Apertura!$G$2:$J$154,4,FALSE)</f>
        <v>1410</v>
      </c>
      <c r="K90" s="10">
        <f>(SUMIF(Resultados_Apertura!$D$2:$D$154, D89, Resultados_Apertura!$E$2:$E$154) + SUMIF($D$2:$D88, D89, $E$2:$E88)) / (COUNTIF(Resultados_Apertura!$D$2:$D$154, D89) + COUNTIF($D$2:$D88, D89))</f>
        <v>1.4166666666666667</v>
      </c>
      <c r="L90" s="10">
        <f>(SUMIF(Resultados_Apertura!$D$2:$D$154, D89, Resultados_Apertura!$F$2:$F$154) + SUMIF($D$2:$D88, D89, $F$2:$F88)) / (COUNTIF(Resultados_Apertura!$D$2:$D$154, D89) + COUNTIF($D$2:$D88, D89))</f>
        <v>1.0833333333333333</v>
      </c>
      <c r="M90" s="10">
        <f>(SUMIF(Resultados_Apertura!$G$2:$G$154, G89, Resultados_Apertura!$F$2:$F$154) + SUMIF($G$2:$G88, G89, $F$2:$F88)) / (COUNTIF(Resultados_Apertura!$G$2:$G$154, G89) + COUNTIF($G$2:$G88, G89))</f>
        <v>1.2307692307692308</v>
      </c>
      <c r="N90" s="10">
        <f>(SUMIF(Resultados_Apertura!$G$2:$G$154, G89, Resultados_Apertura!$E$2:$E$154) + SUMIF($G$2:$G88, G89, $E$2:$E88)) / (COUNTIF(Resultados_Apertura!$G$2:$G$154, G89) + COUNTIF($G$2:$G88, G89))</f>
        <v>2.2307692307692308</v>
      </c>
      <c r="O90" s="9">
        <f>((K90 * N90) / Formulas!$D$2) * IF(J90&gt;=2000, 1.2, IF(J90&gt;=1000, 1.1, 1))</f>
        <v>2.0857692307692313</v>
      </c>
      <c r="P90" s="9">
        <f>((M90 * L90) / Formulas!$D$6) * IF(J90&gt;=2000, 0.75, IF(J90&gt;=1000, 0.85, 1))</f>
        <v>1.0461538461538462</v>
      </c>
    </row>
    <row r="91" spans="1:16">
      <c r="A91" t="s">
        <v>102</v>
      </c>
      <c r="B91" s="3">
        <v>46295</v>
      </c>
      <c r="C91" t="s">
        <v>145</v>
      </c>
      <c r="D91" t="s">
        <v>17</v>
      </c>
      <c r="E91">
        <v>1</v>
      </c>
      <c r="F91">
        <v>1</v>
      </c>
      <c r="G91" t="s">
        <v>35</v>
      </c>
      <c r="H91" t="s">
        <v>18</v>
      </c>
      <c r="I91">
        <f>VLOOKUP(D91,Resultados_Apertura!$D$2:$J$154,6,FALSE)</f>
        <v>3399</v>
      </c>
      <c r="J91">
        <f>VLOOKUP(G91,Resultados_Apertura!$G$2:$J$154,4,FALSE)</f>
        <v>2926</v>
      </c>
      <c r="K91" s="10">
        <f>(SUMIF(Resultados_Apertura!$D$2:$D$154, D90, Resultados_Apertura!$E$2:$E$154) + SUMIF($D$2:$D89, D90, $E$2:$E89)) / (COUNTIF(Resultados_Apertura!$D$2:$D$154, D90) + COUNTIF($D$2:$D89, D90))</f>
        <v>1.6153846153846154</v>
      </c>
      <c r="L91" s="10">
        <f>(SUMIF(Resultados_Apertura!$D$2:$D$154, D90, Resultados_Apertura!$F$2:$F$154) + SUMIF($D$2:$D89, D90, $F$2:$F89)) / (COUNTIF(Resultados_Apertura!$D$2:$D$154, D90) + COUNTIF($D$2:$D89, D90))</f>
        <v>1.6153846153846154</v>
      </c>
      <c r="M91" s="10">
        <f>(SUMIF(Resultados_Apertura!$G$2:$G$154, G90, Resultados_Apertura!$F$2:$F$154) + SUMIF($G$2:$G89, G90, $F$2:$F89)) / (COUNTIF(Resultados_Apertura!$G$2:$G$154, G90) + COUNTIF($G$2:$G89, G90))</f>
        <v>0.46153846153846156</v>
      </c>
      <c r="N91" s="10">
        <f>(SUMIF(Resultados_Apertura!$G$2:$G$154, G90, Resultados_Apertura!$E$2:$E$154) + SUMIF($G$2:$G89, G90, $E$2:$E89)) / (COUNTIF(Resultados_Apertura!$G$2:$G$154, G90) + COUNTIF($G$2:$G89, G90))</f>
        <v>1.4615384615384615</v>
      </c>
      <c r="O91" s="9">
        <f>((K91 * N91) / Formulas!$D$2) * IF(J91&gt;=2000, 1.2, IF(J91&gt;=1000, 1.1, 1))</f>
        <v>1.6998816568047335</v>
      </c>
      <c r="P91" s="9">
        <f>((M91 * L91) / Formulas!$D$6) * IF(J91&gt;=2000, 0.75, IF(J91&gt;=1000, 0.85, 1))</f>
        <v>0.51615839781520256</v>
      </c>
    </row>
    <row r="92" spans="1:16">
      <c r="A92" t="s">
        <v>103</v>
      </c>
      <c r="B92" s="3">
        <v>46303</v>
      </c>
      <c r="C92" t="s">
        <v>144</v>
      </c>
      <c r="D92" t="s">
        <v>27</v>
      </c>
      <c r="E92">
        <v>0</v>
      </c>
      <c r="F92">
        <v>2</v>
      </c>
      <c r="G92" t="s">
        <v>17</v>
      </c>
      <c r="H92" t="s">
        <v>28</v>
      </c>
      <c r="I92">
        <f>VLOOKUP(D92,Resultados_Apertura!$D$2:$J$154,6,FALSE)</f>
        <v>1410</v>
      </c>
      <c r="J92">
        <f>VLOOKUP(G92,Resultados_Apertura!$G$2:$J$154,4,FALSE)</f>
        <v>3399</v>
      </c>
      <c r="K92" s="10">
        <f>(SUMIF(Resultados_Apertura!$D$2:$D$154, D90, Resultados_Apertura!$E$2:$E$154) + SUMIF($D$2:$D89, D90, $E$2:$E89)) / (COUNTIF(Resultados_Apertura!$D$2:$D$154, D90) + COUNTIF($D$2:$D89, D90))</f>
        <v>1.6153846153846154</v>
      </c>
      <c r="L92" s="10">
        <f>(SUMIF(Resultados_Apertura!$D$2:$D$154, D90, Resultados_Apertura!$F$2:$F$154) + SUMIF($D$2:$D89, D90, $F$2:$F89)) / (COUNTIF(Resultados_Apertura!$D$2:$D$154, D90) + COUNTIF($D$2:$D89, D90))</f>
        <v>1.6153846153846154</v>
      </c>
      <c r="M92" s="10">
        <f>(SUMIF(Resultados_Apertura!$G$2:$G$154, G90, Resultados_Apertura!$F$2:$F$154) + SUMIF($G$2:$G89, G90, $F$2:$F89)) / (COUNTIF(Resultados_Apertura!$G$2:$G$154, G90) + COUNTIF($G$2:$G89, G90))</f>
        <v>0.46153846153846156</v>
      </c>
      <c r="N92" s="10">
        <f>(SUMIF(Resultados_Apertura!$G$2:$G$154, G90, Resultados_Apertura!$E$2:$E$154) + SUMIF($G$2:$G89, G90, $E$2:$E89)) / (COUNTIF(Resultados_Apertura!$G$2:$G$154, G90) + COUNTIF($G$2:$G89, G90))</f>
        <v>1.4615384615384615</v>
      </c>
      <c r="O92" s="9">
        <f>((K92 * N92) / Formulas!$D$2) * IF(J92&gt;=2000, 1.2, IF(J92&gt;=1000, 1.1, 1))</f>
        <v>1.6998816568047335</v>
      </c>
      <c r="P92" s="9">
        <f>((M92 * L92) / Formulas!$D$6) * IF(J92&gt;=2000, 0.75, IF(J92&gt;=1000, 0.85, 1))</f>
        <v>0.51615839781520256</v>
      </c>
    </row>
    <row r="93" spans="1:16">
      <c r="A93" t="s">
        <v>103</v>
      </c>
      <c r="B93" s="3">
        <v>46303</v>
      </c>
      <c r="C93" t="s">
        <v>144</v>
      </c>
      <c r="D93" t="s">
        <v>15</v>
      </c>
      <c r="E93">
        <v>0</v>
      </c>
      <c r="F93">
        <v>0</v>
      </c>
      <c r="G93" t="s">
        <v>35</v>
      </c>
      <c r="H93" t="s">
        <v>10</v>
      </c>
      <c r="I93">
        <f>VLOOKUP(D93,Resultados_Apertura!$D$2:$J$154,6,FALSE)</f>
        <v>29</v>
      </c>
      <c r="J93">
        <f>VLOOKUP(G93,Resultados_Apertura!$G$2:$J$154,4,FALSE)</f>
        <v>2926</v>
      </c>
      <c r="K93" s="10">
        <f>(SUMIF(Resultados_Apertura!$D$2:$D$154, D92, Resultados_Apertura!$E$2:$E$154) + SUMIF($D$2:$D90, D92, $E$2:$E90)) / (COUNTIF(Resultados_Apertura!$D$2:$D$154, D92) + COUNTIF($D$2:$D90, D92))</f>
        <v>1.3846153846153846</v>
      </c>
      <c r="L93" s="10">
        <f>(SUMIF(Resultados_Apertura!$D$2:$D$154, D92, Resultados_Apertura!$F$2:$F$154) + SUMIF($D$2:$D90, D92, $F$2:$F90)) / (COUNTIF(Resultados_Apertura!$D$2:$D$154, D92) + COUNTIF($D$2:$D90, D92))</f>
        <v>1.3846153846153846</v>
      </c>
      <c r="M93" s="10">
        <f>(SUMIF(Resultados_Apertura!$G$2:$G$154, G92, Resultados_Apertura!$F$2:$F$154) + SUMIF($G$2:$G90, G92, $F$2:$F90)) / (COUNTIF(Resultados_Apertura!$G$2:$G$154, G92) + COUNTIF($G$2:$G90, G92))</f>
        <v>1.4615384615384615</v>
      </c>
      <c r="N93" s="10">
        <f>(SUMIF(Resultados_Apertura!$G$2:$G$154, G92, Resultados_Apertura!$E$2:$E$154) + SUMIF($G$2:$G90, G92, $E$2:$E90)) / (COUNTIF(Resultados_Apertura!$G$2:$G$154, G92) + COUNTIF($G$2:$G90, G92))</f>
        <v>1.9230769230769231</v>
      </c>
      <c r="O93" s="9">
        <f>((K93 * N93) / Formulas!$D$2) * IF(J93&gt;=2000, 1.2, IF(J93&gt;=1000, 1.1, 1))</f>
        <v>1.917159763313609</v>
      </c>
      <c r="P93" s="9">
        <f>((M93 * L93) / Formulas!$D$6) * IF(J93&gt;=2000, 0.75, IF(J93&gt;=1000, 0.85, 1))</f>
        <v>1.4010013654984068</v>
      </c>
    </row>
    <row r="94" spans="1:16">
      <c r="A94" t="s">
        <v>103</v>
      </c>
      <c r="B94" s="3">
        <v>46304</v>
      </c>
      <c r="C94" t="s">
        <v>89</v>
      </c>
      <c r="D94" t="s">
        <v>26</v>
      </c>
      <c r="E94">
        <v>0</v>
      </c>
      <c r="F94">
        <v>1</v>
      </c>
      <c r="G94" t="s">
        <v>24</v>
      </c>
      <c r="H94" t="s">
        <v>18</v>
      </c>
      <c r="I94">
        <f>VLOOKUP(D94,Resultados_Apertura!$D$2:$J$154,6,FALSE)</f>
        <v>3399</v>
      </c>
      <c r="J94">
        <f>VLOOKUP(G94,Resultados_Apertura!$G$2:$J$154,4,FALSE)</f>
        <v>3259</v>
      </c>
      <c r="K94" s="10">
        <f>(SUMIF(Resultados_Apertura!$D$2:$D$154, D93, Resultados_Apertura!$E$2:$E$154) + SUMIF($D$2:$D92, D93, $E$2:$E92)) / (COUNTIF(Resultados_Apertura!$D$2:$D$154, D93) + COUNTIF($D$2:$D92, D93))</f>
        <v>1.2307692307692308</v>
      </c>
      <c r="L94" s="10">
        <f>(SUMIF(Resultados_Apertura!$D$2:$D$154, D93, Resultados_Apertura!$F$2:$F$154) + SUMIF($D$2:$D92, D93, $F$2:$F92)) / (COUNTIF(Resultados_Apertura!$D$2:$D$154, D93) + COUNTIF($D$2:$D92, D93))</f>
        <v>0.69230769230769229</v>
      </c>
      <c r="M94" s="10">
        <f>(SUMIF(Resultados_Apertura!$G$2:$G$154, G93, Resultados_Apertura!$F$2:$F$154) + SUMIF($G$2:$G92, G93, $F$2:$F92)) / (COUNTIF(Resultados_Apertura!$G$2:$G$154, G93) + COUNTIF($G$2:$G92, G93))</f>
        <v>0.92307692307692313</v>
      </c>
      <c r="N94" s="10">
        <f>(SUMIF(Resultados_Apertura!$G$2:$G$154, G93, Resultados_Apertura!$E$2:$E$154) + SUMIF($G$2:$G92, G93, $E$2:$E92)) / (COUNTIF(Resultados_Apertura!$G$2:$G$154, G93) + COUNTIF($G$2:$G92, G93))</f>
        <v>2</v>
      </c>
      <c r="O94" s="9">
        <f>((K94 * N94) / Formulas!$D$2) * IF(J94&gt;=2000, 1.2, IF(J94&gt;=1000, 1.1, 1))</f>
        <v>1.7723076923076924</v>
      </c>
      <c r="P94" s="9">
        <f>((M94 * L94) / Formulas!$D$6) * IF(J94&gt;=2000, 0.75, IF(J94&gt;=1000, 0.85, 1))</f>
        <v>0.44242148384160218</v>
      </c>
    </row>
    <row r="95" spans="1:16">
      <c r="A95" t="s">
        <v>103</v>
      </c>
      <c r="B95" s="3">
        <v>46305</v>
      </c>
      <c r="C95" t="s">
        <v>90</v>
      </c>
      <c r="D95" t="s">
        <v>5</v>
      </c>
      <c r="E95">
        <v>0</v>
      </c>
      <c r="F95">
        <v>0</v>
      </c>
      <c r="G95" t="s">
        <v>30</v>
      </c>
      <c r="H95" t="s">
        <v>6</v>
      </c>
      <c r="I95">
        <f>VLOOKUP(D95,Resultados_Apertura!$D$2:$J$154,6,FALSE)</f>
        <v>3050</v>
      </c>
      <c r="J95">
        <f>VLOOKUP(G95,Resultados_Apertura!$G$2:$J$154,4,FALSE)</f>
        <v>2750</v>
      </c>
      <c r="K95" s="10">
        <f>(SUMIF(Resultados_Apertura!$D$2:$D$154, D94, Resultados_Apertura!$E$2:$E$154) + SUMIF($D$2:$D93, D94, $E$2:$E93)) / (COUNTIF(Resultados_Apertura!$D$2:$D$154, D94) + COUNTIF($D$2:$D93, D94))</f>
        <v>2.3571428571428572</v>
      </c>
      <c r="L95" s="10">
        <f>(SUMIF(Resultados_Apertura!$D$2:$D$154, D94, Resultados_Apertura!$F$2:$F$154) + SUMIF($D$2:$D93, D94, $F$2:$F93)) / (COUNTIF(Resultados_Apertura!$D$2:$D$154, D94) + COUNTIF($D$2:$D93, D94))</f>
        <v>0.9285714285714286</v>
      </c>
      <c r="M95" s="10">
        <f>(SUMIF(Resultados_Apertura!$G$2:$G$154, G94, Resultados_Apertura!$F$2:$F$154) + SUMIF($G$2:$G93, G94, $F$2:$F93)) / (COUNTIF(Resultados_Apertura!$G$2:$G$154, G94) + COUNTIF($G$2:$G93, G94))</f>
        <v>1.2142857142857142</v>
      </c>
      <c r="N95" s="10">
        <f>(SUMIF(Resultados_Apertura!$G$2:$G$154, G94, Resultados_Apertura!$E$2:$E$154) + SUMIF($G$2:$G93, G94, $E$2:$E93)) / (COUNTIF(Resultados_Apertura!$G$2:$G$154, G94) + COUNTIF($G$2:$G93, G94))</f>
        <v>2.0714285714285716</v>
      </c>
      <c r="O95" s="9">
        <f>((K95 * N95) / Formulas!$D$2) * IF(J95&gt;=2000, 1.2, IF(J95&gt;=1000, 1.1, 1))</f>
        <v>3.5155102040816328</v>
      </c>
      <c r="P95" s="9">
        <f>((M95 * L95) / Formulas!$D$6) * IF(J95&gt;=2000, 0.75, IF(J95&gt;=1000, 0.85, 1))</f>
        <v>0.78061224489795922</v>
      </c>
    </row>
    <row r="96" spans="1:16">
      <c r="A96" t="s">
        <v>103</v>
      </c>
      <c r="B96" s="3">
        <v>46305</v>
      </c>
      <c r="C96" t="s">
        <v>90</v>
      </c>
      <c r="D96" t="s">
        <v>19</v>
      </c>
      <c r="E96">
        <v>1</v>
      </c>
      <c r="F96">
        <v>1</v>
      </c>
      <c r="G96" t="s">
        <v>32</v>
      </c>
      <c r="H96" t="s">
        <v>20</v>
      </c>
      <c r="I96">
        <f>VLOOKUP(D96,Resultados_Apertura!$D$2:$J$154,6,FALSE)</f>
        <v>2637</v>
      </c>
      <c r="J96">
        <f>VLOOKUP(G96,Resultados_Apertura!$G$2:$J$154,4,FALSE)</f>
        <v>209</v>
      </c>
      <c r="K96" s="10">
        <f>(SUMIF(Resultados_Apertura!$D$2:$D$154, D95, Resultados_Apertura!$E$2:$E$154) + SUMIF($D$2:$D94, D95, $E$2:$E94)) / (COUNTIF(Resultados_Apertura!$D$2:$D$154, D95) + COUNTIF($D$2:$D94, D95))</f>
        <v>1.3571428571428572</v>
      </c>
      <c r="L96" s="10">
        <f>(SUMIF(Resultados_Apertura!$D$2:$D$154, D95, Resultados_Apertura!$F$2:$F$154) + SUMIF($D$2:$D94, D95, $F$2:$F94)) / (COUNTIF(Resultados_Apertura!$D$2:$D$154, D95) + COUNTIF($D$2:$D94, D95))</f>
        <v>1.2142857142857142</v>
      </c>
      <c r="M96" s="10">
        <f>(SUMIF(Resultados_Apertura!$G$2:$G$154, G95, Resultados_Apertura!$F$2:$F$154) + SUMIF($G$2:$G94, G95, $F$2:$F94)) / (COUNTIF(Resultados_Apertura!$G$2:$G$154, G95) + COUNTIF($G$2:$G94, G95))</f>
        <v>1.3076923076923077</v>
      </c>
      <c r="N96" s="10">
        <f>(SUMIF(Resultados_Apertura!$G$2:$G$154, G95, Resultados_Apertura!$E$2:$E$154) + SUMIF($G$2:$G94, G95, $E$2:$E94)) / (COUNTIF(Resultados_Apertura!$G$2:$G$154, G95) + COUNTIF($G$2:$G94, G95))</f>
        <v>1.6923076923076923</v>
      </c>
      <c r="O96" s="9">
        <f>((K96 * N96) / Formulas!$D$2) * IF(J96&gt;=2000, 1.2, IF(J96&gt;=1000, 1.1, 1))</f>
        <v>1.3780219780219782</v>
      </c>
      <c r="P96" s="9">
        <f>((M96 * L96) / Formulas!$D$6) * IF(J96&gt;=2000, 0.75, IF(J96&gt;=1000, 0.85, 1))</f>
        <v>1.4657650042265427</v>
      </c>
    </row>
    <row r="97" spans="1:16">
      <c r="A97" t="s">
        <v>103</v>
      </c>
      <c r="B97" s="3">
        <v>46306</v>
      </c>
      <c r="C97" t="s">
        <v>91</v>
      </c>
      <c r="D97" t="s">
        <v>43</v>
      </c>
      <c r="E97">
        <v>2</v>
      </c>
      <c r="F97">
        <v>2</v>
      </c>
      <c r="G97" t="s">
        <v>37</v>
      </c>
      <c r="H97" t="s">
        <v>13</v>
      </c>
      <c r="I97">
        <f>VLOOKUP(D97,Resultados_Apertura!$D$2:$J$154,6,FALSE)</f>
        <v>150</v>
      </c>
      <c r="J97">
        <f>VLOOKUP(G97,Resultados_Apertura!$G$2:$J$154,4,FALSE)</f>
        <v>2335</v>
      </c>
      <c r="K97" s="10">
        <f>(SUMIF(Resultados_Apertura!$D$2:$D$154, D96, Resultados_Apertura!$E$2:$E$154) + SUMIF($D$2:$D95, D96, $E$2:$E95)) / (COUNTIF(Resultados_Apertura!$D$2:$D$154, D96) + COUNTIF($D$2:$D95, D96))</f>
        <v>1.2307692307692308</v>
      </c>
      <c r="L97" s="10">
        <f>(SUMIF(Resultados_Apertura!$D$2:$D$154, D96, Resultados_Apertura!$F$2:$F$154) + SUMIF($D$2:$D95, D96, $F$2:$F95)) / (COUNTIF(Resultados_Apertura!$D$2:$D$154, D96) + COUNTIF($D$2:$D95, D96))</f>
        <v>0.92307692307692313</v>
      </c>
      <c r="M97" s="10">
        <f>(SUMIF(Resultados_Apertura!$G$2:$G$154, G96, Resultados_Apertura!$F$2:$F$154) + SUMIF($G$2:$G95, G96, $F$2:$F95)) / (COUNTIF(Resultados_Apertura!$G$2:$G$154, G96) + COUNTIF($G$2:$G95, G96))</f>
        <v>1.3076923076923077</v>
      </c>
      <c r="N97" s="10">
        <f>(SUMIF(Resultados_Apertura!$G$2:$G$154, G96, Resultados_Apertura!$E$2:$E$154) + SUMIF($G$2:$G95, G96, $E$2:$E95)) / (COUNTIF(Resultados_Apertura!$G$2:$G$154, G96) + COUNTIF($G$2:$G95, G96))</f>
        <v>2.3846153846153846</v>
      </c>
      <c r="O97" s="9">
        <f>((K97 * N97) / Formulas!$D$2) * IF(J97&gt;=2000, 1.2, IF(J97&gt;=1000, 1.1, 1))</f>
        <v>2.1131360946745565</v>
      </c>
      <c r="P97" s="9">
        <f>((M97 * L97) / Formulas!$D$6) * IF(J97&gt;=2000, 0.75, IF(J97&gt;=1000, 0.85, 1))</f>
        <v>0.83568502503413755</v>
      </c>
    </row>
    <row r="98" spans="1:16">
      <c r="A98" t="s">
        <v>103</v>
      </c>
      <c r="B98" s="3">
        <v>46306</v>
      </c>
      <c r="C98" t="s">
        <v>91</v>
      </c>
      <c r="D98" t="s">
        <v>44</v>
      </c>
      <c r="E98">
        <v>0</v>
      </c>
      <c r="F98">
        <v>1</v>
      </c>
      <c r="G98" t="s">
        <v>42</v>
      </c>
      <c r="H98" t="s">
        <v>31</v>
      </c>
      <c r="I98">
        <f>VLOOKUP(D98,Resultados_Apertura!$D$2:$J$154,6,FALSE)</f>
        <v>2750</v>
      </c>
      <c r="J98">
        <f>VLOOKUP(G98,Resultados_Apertura!$G$2:$J$154,4,FALSE)</f>
        <v>150</v>
      </c>
      <c r="K98" s="10">
        <f>(SUMIF(Resultados_Apertura!$D$2:$D$154, D97, Resultados_Apertura!$E$2:$E$154) + SUMIF($D$2:$D96, D97, $E$2:$E96)) / (COUNTIF(Resultados_Apertura!$D$2:$D$154, D97) + COUNTIF($D$2:$D96, D97))</f>
        <v>1.7692307692307692</v>
      </c>
      <c r="L98" s="10">
        <f>(SUMIF(Resultados_Apertura!$D$2:$D$154, D97, Resultados_Apertura!$F$2:$F$154) + SUMIF($D$2:$D96, D97, $F$2:$F96)) / (COUNTIF(Resultados_Apertura!$D$2:$D$154, D97) + COUNTIF($D$2:$D96, D97))</f>
        <v>0.76923076923076927</v>
      </c>
      <c r="M98" s="10">
        <f>(SUMIF(Resultados_Apertura!$G$2:$G$154, G97, Resultados_Apertura!$F$2:$F$154) + SUMIF($G$2:$G96, G97, $F$2:$F96)) / (COUNTIF(Resultados_Apertura!$G$2:$G$154, G97) + COUNTIF($G$2:$G96, G97))</f>
        <v>1.3076923076923077</v>
      </c>
      <c r="N98" s="10">
        <f>(SUMIF(Resultados_Apertura!$G$2:$G$154, G97, Resultados_Apertura!$E$2:$E$154) + SUMIF($G$2:$G96, G97, $E$2:$E96)) / (COUNTIF(Resultados_Apertura!$G$2:$G$154, G97) + COUNTIF($G$2:$G96, G97))</f>
        <v>1.0769230769230769</v>
      </c>
      <c r="O98" s="9">
        <f>((K98 * N98) / Formulas!$D$2) * IF(J98&gt;=2000, 1.2, IF(J98&gt;=1000, 1.1, 1))</f>
        <v>1.1431952662721891</v>
      </c>
      <c r="P98" s="9">
        <f>((M98 * L98) / Formulas!$D$6) * IF(J98&gt;=2000, 0.75, IF(J98&gt;=1000, 0.85, 1))</f>
        <v>0.92853891670459732</v>
      </c>
    </row>
    <row r="99" spans="1:16">
      <c r="A99" t="s">
        <v>103</v>
      </c>
      <c r="B99" s="3">
        <v>46306</v>
      </c>
      <c r="C99" t="s">
        <v>91</v>
      </c>
      <c r="D99" t="s">
        <v>39</v>
      </c>
      <c r="E99">
        <v>1</v>
      </c>
      <c r="F99">
        <v>3</v>
      </c>
      <c r="G99" t="s">
        <v>9</v>
      </c>
      <c r="H99" t="s">
        <v>40</v>
      </c>
      <c r="I99">
        <f>VLOOKUP(D99,Resultados_Apertura!$D$2:$J$154,6,FALSE)</f>
        <v>5</v>
      </c>
      <c r="J99">
        <f>VLOOKUP(G99,Resultados_Apertura!$G$2:$J$154,4,FALSE)</f>
        <v>60</v>
      </c>
      <c r="K99" s="10">
        <f>(SUMIF(Resultados_Apertura!$D$2:$D$154, D98, Resultados_Apertura!$E$2:$E$154) + SUMIF($D$2:$D97, D98, $E$2:$E97)) / (COUNTIF(Resultados_Apertura!$D$2:$D$154, D98) + COUNTIF($D$2:$D97, D98))</f>
        <v>1.0769230769230769</v>
      </c>
      <c r="L99" s="10">
        <f>(SUMIF(Resultados_Apertura!$D$2:$D$154, D98, Resultados_Apertura!$F$2:$F$154) + SUMIF($D$2:$D97, D98, $F$2:$F97)) / (COUNTIF(Resultados_Apertura!$D$2:$D$154, D98) + COUNTIF($D$2:$D97, D98))</f>
        <v>1.3846153846153846</v>
      </c>
      <c r="M99" s="10">
        <f>(SUMIF(Resultados_Apertura!$G$2:$G$154, G98, Resultados_Apertura!$F$2:$F$154) + SUMIF($G$2:$G97, G98, $F$2:$F97)) / (COUNTIF(Resultados_Apertura!$G$2:$G$154, G98) + COUNTIF($G$2:$G97, G98))</f>
        <v>1.1428571428571428</v>
      </c>
      <c r="N99" s="10">
        <f>(SUMIF(Resultados_Apertura!$G$2:$G$154, G98, Resultados_Apertura!$E$2:$E$154) + SUMIF($G$2:$G97, G98, $E$2:$E97)) / (COUNTIF(Resultados_Apertura!$G$2:$G$154, G98) + COUNTIF($G$2:$G97, G98))</f>
        <v>1.8571428571428572</v>
      </c>
      <c r="O99" s="9">
        <f>((K99 * N99) / Formulas!$D$2) * IF(J99&gt;=2000, 1.2, IF(J99&gt;=1000, 1.1, 1))</f>
        <v>1.2</v>
      </c>
      <c r="P99" s="9">
        <f>((M99 * L99) / Formulas!$D$6) * IF(J99&gt;=2000, 0.75, IF(J99&gt;=1000, 0.85, 1))</f>
        <v>1.4606931530008453</v>
      </c>
    </row>
    <row r="100" spans="1:16">
      <c r="A100" t="s">
        <v>103</v>
      </c>
      <c r="B100" s="3">
        <v>46306</v>
      </c>
      <c r="C100" t="s">
        <v>91</v>
      </c>
      <c r="D100" t="s">
        <v>23</v>
      </c>
      <c r="E100">
        <v>1</v>
      </c>
      <c r="F100">
        <v>2</v>
      </c>
      <c r="G100" t="s">
        <v>12</v>
      </c>
      <c r="H100" t="s">
        <v>18</v>
      </c>
      <c r="I100">
        <f>VLOOKUP(D100,Resultados_Apertura!$D$2:$J$154,6,FALSE)</f>
        <v>3399</v>
      </c>
      <c r="J100">
        <f>VLOOKUP(G100,Resultados_Apertura!$G$2:$J$154,4,FALSE)</f>
        <v>150</v>
      </c>
      <c r="K100" s="10">
        <f>(SUMIF(Resultados_Apertura!$D$2:$D$154, D99, Resultados_Apertura!$E$2:$E$154) + SUMIF($D$2:$D98, D99, $E$2:$E98)) / (COUNTIF(Resultados_Apertura!$D$2:$D$154, D99) + COUNTIF($D$2:$D98, D99))</f>
        <v>1.3571428571428572</v>
      </c>
      <c r="L100" s="10">
        <f>(SUMIF(Resultados_Apertura!$D$2:$D$154, D99, Resultados_Apertura!$F$2:$F$154) + SUMIF($D$2:$D98, D99, $F$2:$F98)) / (COUNTIF(Resultados_Apertura!$D$2:$D$154, D99) + COUNTIF($D$2:$D98, D99))</f>
        <v>0.5</v>
      </c>
      <c r="M100" s="10">
        <f>(SUMIF(Resultados_Apertura!$G$2:$G$154, G99, Resultados_Apertura!$F$2:$F$154) + SUMIF($G$2:$G98, G99, $F$2:$F98)) / (COUNTIF(Resultados_Apertura!$G$2:$G$154, G99) + COUNTIF($G$2:$G98, G99))</f>
        <v>1.2142857142857142</v>
      </c>
      <c r="N100" s="10">
        <f>(SUMIF(Resultados_Apertura!$G$2:$G$154, G99, Resultados_Apertura!$E$2:$E$154) + SUMIF($G$2:$G98, G99, $E$2:$E98)) / (COUNTIF(Resultados_Apertura!$G$2:$G$154, G99) + COUNTIF($G$2:$G98, G99))</f>
        <v>1.7857142857142858</v>
      </c>
      <c r="O100" s="9">
        <f>((K100 * N100) / Formulas!$D$2) * IF(J100&gt;=2000, 1.2, IF(J100&gt;=1000, 1.1, 1))</f>
        <v>1.4540816326530612</v>
      </c>
      <c r="P100" s="9">
        <f>((M100 * L100) / Formulas!$D$6) * IF(J100&gt;=2000, 0.75, IF(J100&gt;=1000, 0.85, 1))</f>
        <v>0.56043956043956045</v>
      </c>
    </row>
    <row r="101" spans="1:16">
      <c r="B101" s="3"/>
    </row>
    <row r="102" spans="1:16">
      <c r="B102" s="3"/>
    </row>
    <row r="103" spans="1:16">
      <c r="B103" s="3"/>
    </row>
    <row r="104" spans="1:16">
      <c r="B104" s="3"/>
    </row>
    <row r="105" spans="1:16">
      <c r="B105" s="3"/>
    </row>
    <row r="106" spans="1:16">
      <c r="B106" s="3"/>
    </row>
    <row r="107" spans="1:16">
      <c r="B107" s="3"/>
    </row>
    <row r="108" spans="1:16">
      <c r="B108" s="3"/>
    </row>
    <row r="109" spans="1:16">
      <c r="B109" s="3"/>
    </row>
    <row r="110" spans="1:16">
      <c r="B110" s="3"/>
    </row>
    <row r="111" spans="1:16">
      <c r="B111" s="3"/>
    </row>
    <row r="112" spans="1:16">
      <c r="B112" s="3"/>
    </row>
    <row r="113" spans="2:2">
      <c r="B113" s="3"/>
    </row>
    <row r="114" spans="2:2">
      <c r="B114" s="3"/>
    </row>
    <row r="115" spans="2:2">
      <c r="B115" s="3"/>
    </row>
    <row r="116" spans="2:2">
      <c r="B116" s="3"/>
    </row>
    <row r="117" spans="2:2">
      <c r="B117" s="3"/>
    </row>
    <row r="118" spans="2:2">
      <c r="B118" s="3"/>
    </row>
    <row r="119" spans="2:2">
      <c r="B119" s="3"/>
    </row>
    <row r="120" spans="2:2">
      <c r="B120" s="3"/>
    </row>
    <row r="121" spans="2:2">
      <c r="B121" s="3"/>
    </row>
    <row r="122" spans="2:2">
      <c r="B122" s="3"/>
    </row>
    <row r="123" spans="2:2">
      <c r="B123" s="3"/>
    </row>
    <row r="124" spans="2:2">
      <c r="B124" s="3"/>
    </row>
    <row r="125" spans="2:2">
      <c r="B125" s="3"/>
    </row>
    <row r="126" spans="2:2">
      <c r="B126" s="3"/>
    </row>
    <row r="127" spans="2:2">
      <c r="B127" s="3"/>
    </row>
    <row r="128" spans="2:2">
      <c r="B128" s="3"/>
    </row>
    <row r="129" spans="2:2">
      <c r="B129" s="3"/>
    </row>
    <row r="130" spans="2:2">
      <c r="B130" s="3"/>
    </row>
    <row r="131" spans="2:2">
      <c r="B131" s="3"/>
    </row>
    <row r="132" spans="2:2">
      <c r="B132" s="3"/>
    </row>
    <row r="133" spans="2:2">
      <c r="B133" s="3"/>
    </row>
    <row r="134" spans="2:2">
      <c r="B134" s="3"/>
    </row>
    <row r="135" spans="2:2">
      <c r="B135" s="3"/>
    </row>
    <row r="136" spans="2:2">
      <c r="B136" s="3"/>
    </row>
    <row r="137" spans="2:2">
      <c r="B137" s="3"/>
    </row>
    <row r="138" spans="2:2">
      <c r="B138" s="3"/>
    </row>
    <row r="139" spans="2:2">
      <c r="B139" s="3"/>
    </row>
    <row r="140" spans="2:2">
      <c r="B140" s="3"/>
    </row>
    <row r="141" spans="2:2">
      <c r="B141" s="3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</sheetData>
  <autoFilter ref="A1:P100" xr:uid="{F857D7F1-D26E-4309-81B9-B517593BDAF3}"/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1" sqref="D11:D12"/>
    </sheetView>
  </sheetViews>
  <sheetFormatPr baseColWidth="10" defaultColWidth="11.5546875" defaultRowHeight="14.4"/>
  <cols>
    <col min="1" max="2" width="11.5546875" style="6"/>
    <col min="3" max="3" width="45.6640625" style="6" bestFit="1" customWidth="1"/>
    <col min="4" max="16384" width="11.5546875" style="6"/>
  </cols>
  <sheetData>
    <row r="2" spans="2:4" ht="18" customHeight="1">
      <c r="B2" s="12" t="s">
        <v>128</v>
      </c>
      <c r="C2" s="8" t="s">
        <v>129</v>
      </c>
      <c r="D2" s="13">
        <f>AVERAGE(Resultados_Apertura!E2:E154,Resultados_Clausura!E2:E100)</f>
        <v>1.6666666666666667</v>
      </c>
    </row>
    <row r="3" spans="2:4">
      <c r="B3" s="12"/>
      <c r="C3" s="7" t="s">
        <v>130</v>
      </c>
      <c r="D3" s="13"/>
    </row>
    <row r="4" spans="2:4">
      <c r="D4" s="11"/>
    </row>
    <row r="5" spans="2:4">
      <c r="D5" s="11"/>
    </row>
    <row r="6" spans="2:4">
      <c r="B6" s="12" t="s">
        <v>131</v>
      </c>
      <c r="C6" s="8" t="s">
        <v>132</v>
      </c>
      <c r="D6" s="13">
        <f>AVERAGE(Resultados_Apertura!F2:F154,Resultados_Clausura!F2:F100)</f>
        <v>1.0833333333333333</v>
      </c>
    </row>
    <row r="7" spans="2:4">
      <c r="B7" s="12"/>
      <c r="C7" s="7" t="s">
        <v>130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137</v>
      </c>
      <c r="C11" s="8" t="s">
        <v>138</v>
      </c>
      <c r="D11" s="13">
        <f>SUM(Resultados_Apertura!E2:F154,Resultados_Clausura!E2:F100)/COUNT(Resultados_Apertura!E2:E154,Resultados_Clausura!E2:E100)</f>
        <v>2.75</v>
      </c>
    </row>
    <row r="12" spans="2:4">
      <c r="B12" s="12"/>
      <c r="C12" s="7" t="s">
        <v>139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D3" sqref="D3:H3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69</v>
      </c>
      <c r="B1" s="1" t="s">
        <v>0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</row>
    <row r="2" spans="1:10">
      <c r="A2">
        <v>1</v>
      </c>
      <c r="B2" t="s">
        <v>42</v>
      </c>
      <c r="C2">
        <v>11</v>
      </c>
      <c r="D2">
        <v>7</v>
      </c>
      <c r="E2">
        <v>1</v>
      </c>
      <c r="F2">
        <v>3</v>
      </c>
      <c r="G2">
        <v>19</v>
      </c>
      <c r="H2">
        <v>12</v>
      </c>
      <c r="I2">
        <f t="shared" ref="I2:I9" si="0">G2-H2</f>
        <v>7</v>
      </c>
      <c r="J2">
        <f>D2*3+E2*1</f>
        <v>22</v>
      </c>
    </row>
    <row r="3" spans="1:10">
      <c r="A3">
        <v>2</v>
      </c>
      <c r="B3" t="s">
        <v>26</v>
      </c>
      <c r="C3">
        <v>11</v>
      </c>
      <c r="D3">
        <v>7</v>
      </c>
      <c r="E3">
        <v>1</v>
      </c>
      <c r="F3">
        <v>3</v>
      </c>
      <c r="G3">
        <v>14</v>
      </c>
      <c r="H3">
        <v>6</v>
      </c>
      <c r="I3">
        <f t="shared" si="0"/>
        <v>8</v>
      </c>
      <c r="J3">
        <f t="shared" ref="J3:J19" si="1">D3*3+E3*1</f>
        <v>22</v>
      </c>
    </row>
    <row r="4" spans="1:10">
      <c r="A4">
        <v>3</v>
      </c>
      <c r="B4" t="s">
        <v>9</v>
      </c>
      <c r="C4">
        <v>11</v>
      </c>
      <c r="D4">
        <v>7</v>
      </c>
      <c r="E4">
        <v>1</v>
      </c>
      <c r="F4">
        <v>3</v>
      </c>
      <c r="G4">
        <v>15</v>
      </c>
      <c r="H4">
        <v>8</v>
      </c>
      <c r="I4">
        <f t="shared" si="0"/>
        <v>7</v>
      </c>
      <c r="J4">
        <f t="shared" si="1"/>
        <v>22</v>
      </c>
    </row>
    <row r="5" spans="1:10">
      <c r="A5">
        <v>4</v>
      </c>
      <c r="B5" t="s">
        <v>24</v>
      </c>
      <c r="C5">
        <v>11</v>
      </c>
      <c r="D5">
        <v>7</v>
      </c>
      <c r="E5">
        <v>1</v>
      </c>
      <c r="F5">
        <v>3</v>
      </c>
      <c r="G5">
        <v>13</v>
      </c>
      <c r="H5">
        <v>6</v>
      </c>
      <c r="I5">
        <f t="shared" si="0"/>
        <v>7</v>
      </c>
      <c r="J5">
        <f t="shared" si="1"/>
        <v>22</v>
      </c>
    </row>
    <row r="6" spans="1:10">
      <c r="A6">
        <v>5</v>
      </c>
      <c r="B6" t="s">
        <v>43</v>
      </c>
      <c r="C6">
        <v>11</v>
      </c>
      <c r="D6">
        <v>6</v>
      </c>
      <c r="E6">
        <v>3</v>
      </c>
      <c r="F6">
        <v>2</v>
      </c>
      <c r="G6">
        <v>17</v>
      </c>
      <c r="H6">
        <v>9</v>
      </c>
      <c r="I6">
        <f t="shared" si="0"/>
        <v>8</v>
      </c>
      <c r="J6">
        <f t="shared" si="1"/>
        <v>21</v>
      </c>
    </row>
    <row r="7" spans="1:10">
      <c r="A7">
        <v>6</v>
      </c>
      <c r="B7" t="s">
        <v>32</v>
      </c>
      <c r="C7">
        <v>11</v>
      </c>
      <c r="D7">
        <v>5</v>
      </c>
      <c r="E7">
        <v>4</v>
      </c>
      <c r="F7">
        <v>2</v>
      </c>
      <c r="G7">
        <v>13</v>
      </c>
      <c r="H7">
        <v>10</v>
      </c>
      <c r="I7">
        <f t="shared" si="0"/>
        <v>3</v>
      </c>
      <c r="J7">
        <f t="shared" si="1"/>
        <v>19</v>
      </c>
    </row>
    <row r="8" spans="1:10">
      <c r="A8">
        <v>7</v>
      </c>
      <c r="B8" t="s">
        <v>37</v>
      </c>
      <c r="C8">
        <v>11</v>
      </c>
      <c r="D8">
        <v>5</v>
      </c>
      <c r="E8">
        <v>4</v>
      </c>
      <c r="F8">
        <v>2</v>
      </c>
      <c r="G8">
        <v>18</v>
      </c>
      <c r="H8">
        <v>16</v>
      </c>
      <c r="I8">
        <f t="shared" si="0"/>
        <v>2</v>
      </c>
      <c r="J8">
        <f t="shared" si="1"/>
        <v>19</v>
      </c>
    </row>
    <row r="9" spans="1:10">
      <c r="A9">
        <v>8</v>
      </c>
      <c r="B9" t="s">
        <v>12</v>
      </c>
      <c r="C9">
        <v>11</v>
      </c>
      <c r="D9">
        <v>5</v>
      </c>
      <c r="E9">
        <v>4</v>
      </c>
      <c r="F9">
        <v>2</v>
      </c>
      <c r="G9">
        <v>18</v>
      </c>
      <c r="H9">
        <v>16</v>
      </c>
      <c r="I9">
        <f t="shared" si="0"/>
        <v>2</v>
      </c>
      <c r="J9">
        <f t="shared" si="1"/>
        <v>19</v>
      </c>
    </row>
    <row r="10" spans="1:10">
      <c r="A10">
        <v>9</v>
      </c>
      <c r="B10" t="s">
        <v>39</v>
      </c>
      <c r="C10">
        <v>11</v>
      </c>
      <c r="D10">
        <v>5</v>
      </c>
      <c r="E10">
        <v>3</v>
      </c>
      <c r="F10">
        <v>3</v>
      </c>
      <c r="G10">
        <v>17</v>
      </c>
      <c r="H10">
        <v>13</v>
      </c>
      <c r="I10">
        <f t="shared" ref="I10:I19" si="2">G10-H10</f>
        <v>4</v>
      </c>
      <c r="J10">
        <f t="shared" si="1"/>
        <v>18</v>
      </c>
    </row>
    <row r="11" spans="1:10">
      <c r="A11">
        <v>10</v>
      </c>
      <c r="B11" t="s">
        <v>23</v>
      </c>
      <c r="C11">
        <v>11</v>
      </c>
      <c r="D11">
        <v>6</v>
      </c>
      <c r="E11">
        <v>0</v>
      </c>
      <c r="F11">
        <v>5</v>
      </c>
      <c r="G11">
        <v>16</v>
      </c>
      <c r="H11">
        <v>12</v>
      </c>
      <c r="I11">
        <f>G11-H11</f>
        <v>4</v>
      </c>
      <c r="J11">
        <f>D11*3+E11*1</f>
        <v>18</v>
      </c>
    </row>
    <row r="12" spans="1:10">
      <c r="A12">
        <v>11</v>
      </c>
      <c r="B12" t="s">
        <v>15</v>
      </c>
      <c r="C12">
        <v>11</v>
      </c>
      <c r="D12">
        <v>5</v>
      </c>
      <c r="E12">
        <v>2</v>
      </c>
      <c r="F12">
        <v>4</v>
      </c>
      <c r="G12">
        <v>12</v>
      </c>
      <c r="H12">
        <v>10</v>
      </c>
      <c r="I12">
        <f t="shared" si="2"/>
        <v>2</v>
      </c>
      <c r="J12">
        <f t="shared" si="1"/>
        <v>17</v>
      </c>
    </row>
    <row r="13" spans="1:10">
      <c r="A13">
        <v>12</v>
      </c>
      <c r="B13" t="s">
        <v>17</v>
      </c>
      <c r="C13">
        <v>11</v>
      </c>
      <c r="D13">
        <v>3</v>
      </c>
      <c r="E13">
        <v>2</v>
      </c>
      <c r="F13">
        <v>6</v>
      </c>
      <c r="G13">
        <v>17</v>
      </c>
      <c r="H13">
        <v>22</v>
      </c>
      <c r="I13">
        <f>G13-H13</f>
        <v>-5</v>
      </c>
      <c r="J13">
        <f>D13*3+E13*1</f>
        <v>11</v>
      </c>
    </row>
    <row r="14" spans="1:10">
      <c r="A14">
        <v>13</v>
      </c>
      <c r="B14" t="s">
        <v>30</v>
      </c>
      <c r="C14">
        <v>11</v>
      </c>
      <c r="D14">
        <v>3</v>
      </c>
      <c r="E14">
        <v>2</v>
      </c>
      <c r="F14">
        <v>6</v>
      </c>
      <c r="G14">
        <v>16</v>
      </c>
      <c r="H14">
        <v>16</v>
      </c>
      <c r="I14">
        <f t="shared" si="2"/>
        <v>0</v>
      </c>
      <c r="J14">
        <f t="shared" si="1"/>
        <v>11</v>
      </c>
    </row>
    <row r="15" spans="1:10">
      <c r="A15">
        <v>14</v>
      </c>
      <c r="B15" t="s">
        <v>19</v>
      </c>
      <c r="C15">
        <v>11</v>
      </c>
      <c r="D15">
        <v>2</v>
      </c>
      <c r="E15">
        <v>5</v>
      </c>
      <c r="F15">
        <v>5</v>
      </c>
      <c r="G15">
        <v>10</v>
      </c>
      <c r="H15">
        <v>15</v>
      </c>
      <c r="I15">
        <f t="shared" si="2"/>
        <v>-5</v>
      </c>
      <c r="J15">
        <f t="shared" si="1"/>
        <v>11</v>
      </c>
    </row>
    <row r="16" spans="1:10">
      <c r="A16">
        <v>15</v>
      </c>
      <c r="B16" t="s">
        <v>35</v>
      </c>
      <c r="C16">
        <v>11</v>
      </c>
      <c r="D16">
        <v>2</v>
      </c>
      <c r="E16">
        <v>3</v>
      </c>
      <c r="F16">
        <v>6</v>
      </c>
      <c r="G16">
        <v>7</v>
      </c>
      <c r="H16">
        <v>13</v>
      </c>
      <c r="I16">
        <f t="shared" si="2"/>
        <v>-6</v>
      </c>
      <c r="J16">
        <f t="shared" si="1"/>
        <v>9</v>
      </c>
    </row>
    <row r="17" spans="1:10">
      <c r="A17">
        <v>16</v>
      </c>
      <c r="B17" t="s">
        <v>27</v>
      </c>
      <c r="C17">
        <v>11</v>
      </c>
      <c r="D17">
        <v>1</v>
      </c>
      <c r="E17">
        <v>4</v>
      </c>
      <c r="F17">
        <v>6</v>
      </c>
      <c r="G17">
        <v>10</v>
      </c>
      <c r="H17">
        <v>23</v>
      </c>
      <c r="I17">
        <f t="shared" si="2"/>
        <v>-13</v>
      </c>
      <c r="J17">
        <f t="shared" si="1"/>
        <v>7</v>
      </c>
    </row>
    <row r="18" spans="1:10">
      <c r="A18">
        <v>17</v>
      </c>
      <c r="B18" t="s">
        <v>5</v>
      </c>
      <c r="C18">
        <v>11</v>
      </c>
      <c r="D18">
        <v>1</v>
      </c>
      <c r="E18">
        <v>3</v>
      </c>
      <c r="F18">
        <v>7</v>
      </c>
      <c r="G18">
        <v>9</v>
      </c>
      <c r="H18">
        <v>21</v>
      </c>
      <c r="I18">
        <f>G18-H18</f>
        <v>-12</v>
      </c>
      <c r="J18">
        <f>D18*3+E18*1</f>
        <v>6</v>
      </c>
    </row>
    <row r="19" spans="1:10">
      <c r="A19">
        <v>18</v>
      </c>
      <c r="B19" t="s">
        <v>44</v>
      </c>
      <c r="C19">
        <v>11</v>
      </c>
      <c r="D19">
        <v>0</v>
      </c>
      <c r="E19">
        <v>2</v>
      </c>
      <c r="F19">
        <v>9</v>
      </c>
      <c r="G19">
        <v>5</v>
      </c>
      <c r="H19">
        <v>18</v>
      </c>
      <c r="I19">
        <f t="shared" si="2"/>
        <v>-13</v>
      </c>
      <c r="J19">
        <f t="shared" si="1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B9" sqref="B9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78</v>
      </c>
      <c r="B1" s="1" t="s">
        <v>0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79</v>
      </c>
    </row>
    <row r="2" spans="1:11">
      <c r="A2">
        <v>1</v>
      </c>
      <c r="B2" t="s">
        <v>12</v>
      </c>
      <c r="C2">
        <v>28</v>
      </c>
      <c r="D2">
        <v>17</v>
      </c>
      <c r="E2">
        <v>8</v>
      </c>
      <c r="F2">
        <f>C2-D2-E2</f>
        <v>3</v>
      </c>
      <c r="G2">
        <v>46</v>
      </c>
      <c r="H2">
        <v>19</v>
      </c>
      <c r="I2">
        <f>G2-H2</f>
        <v>27</v>
      </c>
      <c r="J2" s="4">
        <f>D2*3+E2*1</f>
        <v>59</v>
      </c>
      <c r="K2" t="s">
        <v>80</v>
      </c>
    </row>
    <row r="3" spans="1:11">
      <c r="A3">
        <v>2</v>
      </c>
      <c r="B3" t="s">
        <v>43</v>
      </c>
      <c r="C3">
        <v>28</v>
      </c>
      <c r="D3">
        <v>14</v>
      </c>
      <c r="E3">
        <v>8</v>
      </c>
      <c r="F3">
        <f t="shared" ref="F3:F19" si="0">C3-D3-E3</f>
        <v>6</v>
      </c>
      <c r="G3">
        <v>45</v>
      </c>
      <c r="H3">
        <v>33</v>
      </c>
      <c r="I3">
        <f t="shared" ref="I3:I19" si="1">G3-H3</f>
        <v>12</v>
      </c>
      <c r="J3" s="4">
        <f t="shared" ref="J3:J18" si="2">D3*3+E3*1</f>
        <v>50</v>
      </c>
      <c r="K3" t="s">
        <v>80</v>
      </c>
    </row>
    <row r="4" spans="1:11">
      <c r="A4">
        <v>3</v>
      </c>
      <c r="B4" t="s">
        <v>26</v>
      </c>
      <c r="C4">
        <v>28</v>
      </c>
      <c r="D4">
        <v>14</v>
      </c>
      <c r="E4">
        <v>6</v>
      </c>
      <c r="F4">
        <f t="shared" si="0"/>
        <v>8</v>
      </c>
      <c r="G4">
        <v>39</v>
      </c>
      <c r="H4">
        <v>25</v>
      </c>
      <c r="I4">
        <f>G4-H4</f>
        <v>14</v>
      </c>
      <c r="J4" s="4">
        <f t="shared" si="2"/>
        <v>48</v>
      </c>
      <c r="K4" t="s">
        <v>81</v>
      </c>
    </row>
    <row r="5" spans="1:11">
      <c r="A5">
        <v>4</v>
      </c>
      <c r="B5" t="s">
        <v>37</v>
      </c>
      <c r="C5">
        <v>28</v>
      </c>
      <c r="D5">
        <v>13</v>
      </c>
      <c r="E5">
        <v>8</v>
      </c>
      <c r="F5">
        <f t="shared" si="0"/>
        <v>7</v>
      </c>
      <c r="G5">
        <v>47</v>
      </c>
      <c r="H5">
        <v>31</v>
      </c>
      <c r="I5">
        <f t="shared" si="1"/>
        <v>16</v>
      </c>
      <c r="J5" s="4">
        <f t="shared" si="2"/>
        <v>47</v>
      </c>
      <c r="K5" t="s">
        <v>81</v>
      </c>
    </row>
    <row r="6" spans="1:11">
      <c r="A6">
        <v>5</v>
      </c>
      <c r="B6" t="s">
        <v>23</v>
      </c>
      <c r="C6">
        <v>28</v>
      </c>
      <c r="D6">
        <v>14</v>
      </c>
      <c r="E6">
        <v>3</v>
      </c>
      <c r="F6">
        <f t="shared" si="0"/>
        <v>11</v>
      </c>
      <c r="G6">
        <v>41</v>
      </c>
      <c r="H6">
        <v>40</v>
      </c>
      <c r="I6">
        <f t="shared" si="1"/>
        <v>1</v>
      </c>
      <c r="J6" s="4">
        <f t="shared" si="2"/>
        <v>45</v>
      </c>
      <c r="K6" t="s">
        <v>82</v>
      </c>
    </row>
    <row r="7" spans="1:11">
      <c r="A7">
        <v>6</v>
      </c>
      <c r="B7" t="s">
        <v>17</v>
      </c>
      <c r="C7">
        <v>28</v>
      </c>
      <c r="D7">
        <v>13</v>
      </c>
      <c r="E7">
        <v>5</v>
      </c>
      <c r="F7">
        <f t="shared" si="0"/>
        <v>10</v>
      </c>
      <c r="G7">
        <v>48</v>
      </c>
      <c r="H7">
        <v>40</v>
      </c>
      <c r="I7">
        <f t="shared" si="1"/>
        <v>8</v>
      </c>
      <c r="J7" s="4">
        <f t="shared" si="2"/>
        <v>44</v>
      </c>
      <c r="K7" t="s">
        <v>82</v>
      </c>
    </row>
    <row r="8" spans="1:11">
      <c r="A8">
        <v>7</v>
      </c>
      <c r="B8" t="s">
        <v>9</v>
      </c>
      <c r="C8">
        <v>28</v>
      </c>
      <c r="D8">
        <v>12</v>
      </c>
      <c r="E8">
        <v>7</v>
      </c>
      <c r="F8">
        <f t="shared" si="0"/>
        <v>9</v>
      </c>
      <c r="G8">
        <v>43</v>
      </c>
      <c r="H8">
        <v>36</v>
      </c>
      <c r="I8">
        <f t="shared" si="1"/>
        <v>7</v>
      </c>
      <c r="J8" s="4">
        <f t="shared" si="2"/>
        <v>43</v>
      </c>
      <c r="K8" t="s">
        <v>82</v>
      </c>
    </row>
    <row r="9" spans="1:11">
      <c r="A9">
        <v>8</v>
      </c>
      <c r="B9" t="s">
        <v>35</v>
      </c>
      <c r="C9">
        <v>28</v>
      </c>
      <c r="D9">
        <v>12</v>
      </c>
      <c r="E9">
        <v>7</v>
      </c>
      <c r="F9">
        <f t="shared" si="0"/>
        <v>9</v>
      </c>
      <c r="G9">
        <v>36</v>
      </c>
      <c r="H9">
        <v>45</v>
      </c>
      <c r="I9">
        <f t="shared" si="1"/>
        <v>-9</v>
      </c>
      <c r="J9" s="4">
        <f t="shared" si="2"/>
        <v>43</v>
      </c>
      <c r="K9" t="s">
        <v>82</v>
      </c>
    </row>
    <row r="10" spans="1:11">
      <c r="A10">
        <v>9</v>
      </c>
      <c r="B10" t="s">
        <v>42</v>
      </c>
      <c r="C10">
        <v>28</v>
      </c>
      <c r="D10">
        <v>12</v>
      </c>
      <c r="E10">
        <v>5</v>
      </c>
      <c r="F10">
        <f t="shared" si="0"/>
        <v>11</v>
      </c>
      <c r="G10">
        <v>49</v>
      </c>
      <c r="H10">
        <v>40</v>
      </c>
      <c r="I10">
        <f>G10-H10</f>
        <v>9</v>
      </c>
      <c r="J10" s="4">
        <f>D10*3+E10*1</f>
        <v>41</v>
      </c>
      <c r="K10" t="s">
        <v>83</v>
      </c>
    </row>
    <row r="11" spans="1:11">
      <c r="A11">
        <v>10</v>
      </c>
      <c r="B11" t="s">
        <v>24</v>
      </c>
      <c r="C11">
        <v>28</v>
      </c>
      <c r="D11">
        <v>11</v>
      </c>
      <c r="E11">
        <v>5</v>
      </c>
      <c r="F11">
        <f t="shared" si="0"/>
        <v>12</v>
      </c>
      <c r="G11">
        <v>38</v>
      </c>
      <c r="H11">
        <v>44</v>
      </c>
      <c r="I11">
        <f t="shared" si="1"/>
        <v>-6</v>
      </c>
      <c r="J11" s="4">
        <f t="shared" si="2"/>
        <v>38</v>
      </c>
      <c r="K11" t="s">
        <v>83</v>
      </c>
    </row>
    <row r="12" spans="1:11">
      <c r="A12">
        <v>11</v>
      </c>
      <c r="B12" t="s">
        <v>32</v>
      </c>
      <c r="C12">
        <v>28</v>
      </c>
      <c r="D12">
        <v>9</v>
      </c>
      <c r="E12">
        <v>8</v>
      </c>
      <c r="F12">
        <f t="shared" si="0"/>
        <v>11</v>
      </c>
      <c r="G12">
        <v>43</v>
      </c>
      <c r="H12">
        <v>53</v>
      </c>
      <c r="I12">
        <f>G12-H12</f>
        <v>-10</v>
      </c>
      <c r="J12" s="4">
        <f>D12*3+E12*1</f>
        <v>35</v>
      </c>
      <c r="K12" t="s">
        <v>83</v>
      </c>
    </row>
    <row r="13" spans="1:11">
      <c r="A13">
        <v>12</v>
      </c>
      <c r="B13" t="s">
        <v>39</v>
      </c>
      <c r="C13">
        <v>28</v>
      </c>
      <c r="D13">
        <v>10</v>
      </c>
      <c r="E13">
        <v>8</v>
      </c>
      <c r="F13">
        <f t="shared" si="0"/>
        <v>10</v>
      </c>
      <c r="G13">
        <v>30</v>
      </c>
      <c r="H13">
        <v>29</v>
      </c>
      <c r="I13">
        <f>G13-H13</f>
        <v>1</v>
      </c>
      <c r="J13" s="4">
        <f>D13*3+E13*1-4</f>
        <v>34</v>
      </c>
      <c r="K13" t="s">
        <v>83</v>
      </c>
    </row>
    <row r="14" spans="1:11">
      <c r="A14">
        <v>13</v>
      </c>
      <c r="B14" t="s">
        <v>15</v>
      </c>
      <c r="C14">
        <v>28</v>
      </c>
      <c r="D14">
        <v>9</v>
      </c>
      <c r="E14">
        <v>6</v>
      </c>
      <c r="F14">
        <f t="shared" si="0"/>
        <v>13</v>
      </c>
      <c r="G14">
        <v>26</v>
      </c>
      <c r="H14">
        <v>31</v>
      </c>
      <c r="I14">
        <f>G14-H14</f>
        <v>-5</v>
      </c>
      <c r="J14" s="4">
        <f>D14*3+E14*1</f>
        <v>33</v>
      </c>
      <c r="K14" t="s">
        <v>83</v>
      </c>
    </row>
    <row r="15" spans="1:11">
      <c r="A15">
        <v>14</v>
      </c>
      <c r="B15" t="s">
        <v>19</v>
      </c>
      <c r="C15">
        <v>28</v>
      </c>
      <c r="D15">
        <v>7</v>
      </c>
      <c r="E15">
        <v>10</v>
      </c>
      <c r="F15">
        <f t="shared" si="0"/>
        <v>11</v>
      </c>
      <c r="G15">
        <v>36</v>
      </c>
      <c r="H15">
        <v>39</v>
      </c>
      <c r="I15">
        <f t="shared" si="1"/>
        <v>-3</v>
      </c>
      <c r="J15" s="4">
        <f t="shared" si="2"/>
        <v>31</v>
      </c>
      <c r="K15" t="s">
        <v>84</v>
      </c>
    </row>
    <row r="16" spans="1:11">
      <c r="A16">
        <v>15</v>
      </c>
      <c r="B16" t="s">
        <v>30</v>
      </c>
      <c r="C16">
        <v>28</v>
      </c>
      <c r="D16">
        <v>7</v>
      </c>
      <c r="E16">
        <v>7</v>
      </c>
      <c r="F16">
        <f t="shared" si="0"/>
        <v>14</v>
      </c>
      <c r="G16">
        <v>41</v>
      </c>
      <c r="H16">
        <v>52</v>
      </c>
      <c r="I16">
        <f>G16-H16</f>
        <v>-11</v>
      </c>
      <c r="J16" s="4">
        <f>D16*3+E16*1-2</f>
        <v>26</v>
      </c>
      <c r="K16" t="s">
        <v>84</v>
      </c>
    </row>
    <row r="17" spans="1:11">
      <c r="A17">
        <v>16</v>
      </c>
      <c r="B17" t="s">
        <v>5</v>
      </c>
      <c r="C17">
        <v>28</v>
      </c>
      <c r="D17">
        <v>6</v>
      </c>
      <c r="E17">
        <v>8</v>
      </c>
      <c r="F17">
        <f t="shared" si="0"/>
        <v>14</v>
      </c>
      <c r="G17">
        <v>29</v>
      </c>
      <c r="H17">
        <v>42</v>
      </c>
      <c r="I17">
        <f t="shared" si="1"/>
        <v>-13</v>
      </c>
      <c r="J17" s="4">
        <f>D17*3+E17*1-1</f>
        <v>25</v>
      </c>
      <c r="K17" s="5" t="s">
        <v>85</v>
      </c>
    </row>
    <row r="18" spans="1:11">
      <c r="A18">
        <v>17</v>
      </c>
      <c r="B18" t="s">
        <v>27</v>
      </c>
      <c r="C18">
        <v>28</v>
      </c>
      <c r="D18">
        <v>6</v>
      </c>
      <c r="E18">
        <v>7</v>
      </c>
      <c r="F18">
        <f t="shared" si="0"/>
        <v>15</v>
      </c>
      <c r="G18">
        <v>24</v>
      </c>
      <c r="H18">
        <v>43</v>
      </c>
      <c r="I18">
        <f t="shared" si="1"/>
        <v>-19</v>
      </c>
      <c r="J18" s="4">
        <f t="shared" si="2"/>
        <v>25</v>
      </c>
      <c r="K18" s="5" t="s">
        <v>86</v>
      </c>
    </row>
    <row r="19" spans="1:11">
      <c r="A19">
        <v>18</v>
      </c>
      <c r="B19" t="s">
        <v>44</v>
      </c>
      <c r="C19">
        <v>28</v>
      </c>
      <c r="D19">
        <v>4</v>
      </c>
      <c r="E19">
        <v>8</v>
      </c>
      <c r="F19">
        <f t="shared" si="0"/>
        <v>16</v>
      </c>
      <c r="G19">
        <v>32</v>
      </c>
      <c r="H19">
        <v>51</v>
      </c>
      <c r="I19">
        <f t="shared" si="1"/>
        <v>-19</v>
      </c>
      <c r="J19" s="4">
        <f>D19*3+E19*1-10</f>
        <v>10</v>
      </c>
      <c r="K19" s="5" t="s">
        <v>86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tabSelected="1" topLeftCell="A28" workbookViewId="0">
      <selection activeCell="F42" sqref="F42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87</v>
      </c>
      <c r="B1" s="1" t="s">
        <v>47</v>
      </c>
      <c r="C1" s="1" t="s">
        <v>110</v>
      </c>
      <c r="D1" s="1" t="s">
        <v>111</v>
      </c>
      <c r="E1" s="1" t="s">
        <v>112</v>
      </c>
      <c r="F1" s="1" t="s">
        <v>113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114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114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115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116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117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118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119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120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121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122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114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114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115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116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117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118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119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120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121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122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114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114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114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114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114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114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123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115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124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125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114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114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114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114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114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114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123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115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114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149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149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114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114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114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114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148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148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114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114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114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114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114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114</v>
      </c>
    </row>
    <row r="55" spans="1:6">
      <c r="A55" s="3">
        <v>46115</v>
      </c>
      <c r="B55" t="s">
        <v>126</v>
      </c>
      <c r="C55" t="s">
        <v>15</v>
      </c>
      <c r="D55">
        <v>2</v>
      </c>
      <c r="E55">
        <v>2</v>
      </c>
      <c r="F55" t="s">
        <v>114</v>
      </c>
    </row>
    <row r="56" spans="1:6">
      <c r="A56" s="3">
        <v>45963</v>
      </c>
      <c r="B56" t="s">
        <v>15</v>
      </c>
      <c r="C56" t="s">
        <v>126</v>
      </c>
      <c r="D56">
        <v>1</v>
      </c>
      <c r="E56">
        <v>1</v>
      </c>
      <c r="F56" t="s">
        <v>114</v>
      </c>
    </row>
    <row r="57" spans="1:6">
      <c r="A57" s="3">
        <v>45837</v>
      </c>
      <c r="B57" t="s">
        <v>126</v>
      </c>
      <c r="C57" t="s">
        <v>15</v>
      </c>
      <c r="D57">
        <v>2</v>
      </c>
      <c r="E57">
        <v>1</v>
      </c>
      <c r="F57" t="s">
        <v>114</v>
      </c>
    </row>
    <row r="58" spans="1:6">
      <c r="A58" s="3">
        <v>45487</v>
      </c>
      <c r="B58" t="s">
        <v>126</v>
      </c>
      <c r="C58" t="s">
        <v>15</v>
      </c>
      <c r="D58">
        <v>0</v>
      </c>
      <c r="E58">
        <v>0</v>
      </c>
      <c r="F58" t="s">
        <v>114</v>
      </c>
    </row>
    <row r="59" spans="1:6">
      <c r="A59" s="3">
        <v>45319</v>
      </c>
      <c r="B59" t="s">
        <v>15</v>
      </c>
      <c r="C59" t="s">
        <v>126</v>
      </c>
      <c r="D59">
        <v>1</v>
      </c>
      <c r="E59">
        <v>1</v>
      </c>
      <c r="F59" t="s">
        <v>114</v>
      </c>
    </row>
    <row r="60" spans="1:6">
      <c r="A60" s="3">
        <v>45207</v>
      </c>
      <c r="B60" t="s">
        <v>15</v>
      </c>
      <c r="C60" t="s">
        <v>126</v>
      </c>
      <c r="D60">
        <v>1</v>
      </c>
      <c r="E60">
        <v>1</v>
      </c>
      <c r="F60" t="s">
        <v>114</v>
      </c>
    </row>
    <row r="61" spans="1:6">
      <c r="A61" s="3">
        <v>45073</v>
      </c>
      <c r="B61" t="s">
        <v>126</v>
      </c>
      <c r="C61" t="s">
        <v>15</v>
      </c>
      <c r="D61">
        <v>3</v>
      </c>
      <c r="E61">
        <v>2</v>
      </c>
      <c r="F61" t="s">
        <v>114</v>
      </c>
    </row>
    <row r="62" spans="1:6">
      <c r="A62" s="3">
        <v>44843</v>
      </c>
      <c r="B62" t="s">
        <v>126</v>
      </c>
      <c r="C62" t="s">
        <v>15</v>
      </c>
      <c r="D62">
        <v>4</v>
      </c>
      <c r="E62">
        <v>1</v>
      </c>
      <c r="F62" t="s">
        <v>114</v>
      </c>
    </row>
    <row r="63" spans="1:6">
      <c r="A63" s="3">
        <v>44703</v>
      </c>
      <c r="B63" t="s">
        <v>15</v>
      </c>
      <c r="C63" t="s">
        <v>126</v>
      </c>
      <c r="D63">
        <v>1</v>
      </c>
      <c r="E63">
        <v>2</v>
      </c>
      <c r="F63" t="s">
        <v>114</v>
      </c>
    </row>
    <row r="64" spans="1:6">
      <c r="A64" s="3">
        <v>43744</v>
      </c>
      <c r="B64" t="s">
        <v>15</v>
      </c>
      <c r="C64" t="s">
        <v>126</v>
      </c>
      <c r="D64">
        <v>3</v>
      </c>
      <c r="E64">
        <v>1</v>
      </c>
      <c r="F64" t="s">
        <v>127</v>
      </c>
    </row>
    <row r="65" spans="1:6">
      <c r="A65" s="3">
        <v>46278</v>
      </c>
      <c r="B65" t="s">
        <v>126</v>
      </c>
      <c r="C65" t="s">
        <v>15</v>
      </c>
      <c r="D65">
        <v>1</v>
      </c>
      <c r="E65">
        <v>3</v>
      </c>
      <c r="F65" t="s">
        <v>114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2026-10-14T14:53:52Z</dcterms:modified>
</cp:coreProperties>
</file>