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 TARRILLO\Downloads\"/>
    </mc:Choice>
  </mc:AlternateContent>
  <xr:revisionPtr revIDLastSave="0" documentId="13_ncr:1_{0D34335E-9B22-47E3-9E0F-AB4C53F830AF}" xr6:coauthVersionLast="47" xr6:coauthVersionMax="47" xr10:uidLastSave="{00000000-0000-0000-0000-000000000000}"/>
  <bookViews>
    <workbookView xWindow="-120" yWindow="-120" windowWidth="29040" windowHeight="15840" activeTab="7" xr2:uid="{92099A8A-09DA-40B1-A95C-2AD63072D0A5}"/>
  </bookViews>
  <sheets>
    <sheet name="Data_Geografica" sheetId="1" r:id="rId1"/>
    <sheet name="Partidos_Fecha" sheetId="2" r:id="rId2"/>
    <sheet name="Resultados_Apertura" sheetId="6" r:id="rId3"/>
    <sheet name="Resultados_Clausura" sheetId="3" r:id="rId4"/>
    <sheet name="Formulas" sheetId="8" state="hidden" r:id="rId5"/>
    <sheet name="Tabla_Clausura" sheetId="4" r:id="rId6"/>
    <sheet name="Tabla_Acumulada" sheetId="5" r:id="rId7"/>
    <sheet name="Historial_H2H" sheetId="7" r:id="rId8"/>
  </sheets>
  <definedNames>
    <definedName name="_xlnm._FilterDatabase" localSheetId="7" hidden="1">Historial_H2H!$A$1:$F$54</definedName>
    <definedName name="_xlnm._FilterDatabase" localSheetId="2" hidden="1">Resultados_Apertura!$A$1:$J$154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2" l="1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J13" i="5"/>
  <c r="J16" i="5"/>
  <c r="J17" i="5"/>
  <c r="J19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" i="5"/>
  <c r="G91" i="3"/>
  <c r="H91" i="3"/>
  <c r="I91" i="3"/>
  <c r="M91" i="3" s="1"/>
  <c r="J91" i="3"/>
  <c r="K91" i="3"/>
  <c r="N91" i="3" s="1"/>
  <c r="L91" i="3"/>
  <c r="G92" i="3"/>
  <c r="H92" i="3"/>
  <c r="M92" i="3" s="1"/>
  <c r="I92" i="3"/>
  <c r="J92" i="3"/>
  <c r="N92" i="3" s="1"/>
  <c r="K92" i="3"/>
  <c r="L92" i="3"/>
  <c r="G93" i="3"/>
  <c r="H93" i="3"/>
  <c r="I93" i="3"/>
  <c r="J93" i="3"/>
  <c r="K93" i="3"/>
  <c r="L93" i="3"/>
  <c r="M93" i="3" s="1"/>
  <c r="G94" i="3"/>
  <c r="H94" i="3"/>
  <c r="I94" i="3"/>
  <c r="J94" i="3"/>
  <c r="K94" i="3"/>
  <c r="N94" i="3" s="1"/>
  <c r="L94" i="3"/>
  <c r="G95" i="3"/>
  <c r="H95" i="3"/>
  <c r="I95" i="3"/>
  <c r="J95" i="3"/>
  <c r="K95" i="3"/>
  <c r="L95" i="3"/>
  <c r="G96" i="3"/>
  <c r="H96" i="3"/>
  <c r="I96" i="3"/>
  <c r="J96" i="3"/>
  <c r="K96" i="3"/>
  <c r="N96" i="3" s="1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I82" i="3"/>
  <c r="J82" i="3"/>
  <c r="K82" i="3"/>
  <c r="L82" i="3"/>
  <c r="H82" i="3"/>
  <c r="G82" i="3"/>
  <c r="M98" i="3" l="1"/>
  <c r="M99" i="3"/>
  <c r="M97" i="3"/>
  <c r="N98" i="3"/>
  <c r="N97" i="3"/>
  <c r="N95" i="3"/>
  <c r="N99" i="3"/>
  <c r="N93" i="3"/>
  <c r="M94" i="3"/>
  <c r="M95" i="3"/>
  <c r="M96" i="3"/>
  <c r="I83" i="3"/>
  <c r="J83" i="3"/>
  <c r="K83" i="3"/>
  <c r="L83" i="3"/>
  <c r="I84" i="3"/>
  <c r="J84" i="3"/>
  <c r="K84" i="3"/>
  <c r="L84" i="3"/>
  <c r="I85" i="3"/>
  <c r="J85" i="3"/>
  <c r="K85" i="3"/>
  <c r="L85" i="3"/>
  <c r="I86" i="3"/>
  <c r="J86" i="3"/>
  <c r="K86" i="3"/>
  <c r="L86" i="3"/>
  <c r="I87" i="3"/>
  <c r="J87" i="3"/>
  <c r="K87" i="3"/>
  <c r="L87" i="3"/>
  <c r="I88" i="3"/>
  <c r="J88" i="3"/>
  <c r="K88" i="3"/>
  <c r="L88" i="3"/>
  <c r="I89" i="3"/>
  <c r="J89" i="3"/>
  <c r="K89" i="3"/>
  <c r="L89" i="3"/>
  <c r="I90" i="3"/>
  <c r="J90" i="3"/>
  <c r="K90" i="3"/>
  <c r="L90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H2" i="3"/>
  <c r="G2" i="3"/>
  <c r="D11" i="8" l="1"/>
  <c r="I12" i="3"/>
  <c r="J12" i="3"/>
  <c r="K12" i="3"/>
  <c r="L12" i="3"/>
  <c r="I13" i="3"/>
  <c r="J13" i="3"/>
  <c r="K13" i="3"/>
  <c r="L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I18" i="3"/>
  <c r="J18" i="3"/>
  <c r="K18" i="3"/>
  <c r="L18" i="3"/>
  <c r="I19" i="3"/>
  <c r="J19" i="3"/>
  <c r="K19" i="3"/>
  <c r="L19" i="3"/>
  <c r="I20" i="3"/>
  <c r="J20" i="3"/>
  <c r="K20" i="3"/>
  <c r="L20" i="3"/>
  <c r="I21" i="3"/>
  <c r="J21" i="3"/>
  <c r="K21" i="3"/>
  <c r="L21" i="3"/>
  <c r="I22" i="3"/>
  <c r="J22" i="3"/>
  <c r="K22" i="3"/>
  <c r="L22" i="3"/>
  <c r="I23" i="3"/>
  <c r="J23" i="3"/>
  <c r="K23" i="3"/>
  <c r="L23" i="3"/>
  <c r="I24" i="3"/>
  <c r="J24" i="3"/>
  <c r="K24" i="3"/>
  <c r="L24" i="3"/>
  <c r="I25" i="3"/>
  <c r="J25" i="3"/>
  <c r="K25" i="3"/>
  <c r="L25" i="3"/>
  <c r="I26" i="3"/>
  <c r="J26" i="3"/>
  <c r="K26" i="3"/>
  <c r="L26" i="3"/>
  <c r="I27" i="3"/>
  <c r="J27" i="3"/>
  <c r="K27" i="3"/>
  <c r="L27" i="3"/>
  <c r="I28" i="3"/>
  <c r="J28" i="3"/>
  <c r="K28" i="3"/>
  <c r="L28" i="3"/>
  <c r="I29" i="3"/>
  <c r="J29" i="3"/>
  <c r="K29" i="3"/>
  <c r="L29" i="3"/>
  <c r="I30" i="3"/>
  <c r="J30" i="3"/>
  <c r="K30" i="3"/>
  <c r="L30" i="3"/>
  <c r="I31" i="3"/>
  <c r="J31" i="3"/>
  <c r="K31" i="3"/>
  <c r="L31" i="3"/>
  <c r="I32" i="3"/>
  <c r="J32" i="3"/>
  <c r="K32" i="3"/>
  <c r="L32" i="3"/>
  <c r="I33" i="3"/>
  <c r="J33" i="3"/>
  <c r="K33" i="3"/>
  <c r="L33" i="3"/>
  <c r="I34" i="3"/>
  <c r="J34" i="3"/>
  <c r="K34" i="3"/>
  <c r="L34" i="3"/>
  <c r="I35" i="3"/>
  <c r="J35" i="3"/>
  <c r="K35" i="3"/>
  <c r="L35" i="3"/>
  <c r="I36" i="3"/>
  <c r="J36" i="3"/>
  <c r="K36" i="3"/>
  <c r="L36" i="3"/>
  <c r="I37" i="3"/>
  <c r="J37" i="3"/>
  <c r="K37" i="3"/>
  <c r="L37" i="3"/>
  <c r="I38" i="3"/>
  <c r="J38" i="3"/>
  <c r="K38" i="3"/>
  <c r="L38" i="3"/>
  <c r="I39" i="3"/>
  <c r="J39" i="3"/>
  <c r="K39" i="3"/>
  <c r="L39" i="3"/>
  <c r="I40" i="3"/>
  <c r="J40" i="3"/>
  <c r="K40" i="3"/>
  <c r="L40" i="3"/>
  <c r="I41" i="3"/>
  <c r="J41" i="3"/>
  <c r="K41" i="3"/>
  <c r="L41" i="3"/>
  <c r="I42" i="3"/>
  <c r="J42" i="3"/>
  <c r="K42" i="3"/>
  <c r="L42" i="3"/>
  <c r="I43" i="3"/>
  <c r="J43" i="3"/>
  <c r="K43" i="3"/>
  <c r="L43" i="3"/>
  <c r="I44" i="3"/>
  <c r="J44" i="3"/>
  <c r="K44" i="3"/>
  <c r="L44" i="3"/>
  <c r="I45" i="3"/>
  <c r="J45" i="3"/>
  <c r="K45" i="3"/>
  <c r="L45" i="3"/>
  <c r="I46" i="3"/>
  <c r="J46" i="3"/>
  <c r="K46" i="3"/>
  <c r="L46" i="3"/>
  <c r="I47" i="3"/>
  <c r="J47" i="3"/>
  <c r="K47" i="3"/>
  <c r="L47" i="3"/>
  <c r="I48" i="3"/>
  <c r="J48" i="3"/>
  <c r="K48" i="3"/>
  <c r="L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3" i="3"/>
  <c r="J53" i="3"/>
  <c r="K53" i="3"/>
  <c r="L53" i="3"/>
  <c r="I54" i="3"/>
  <c r="J54" i="3"/>
  <c r="K54" i="3"/>
  <c r="L54" i="3"/>
  <c r="I55" i="3"/>
  <c r="J55" i="3"/>
  <c r="K55" i="3"/>
  <c r="L55" i="3"/>
  <c r="I56" i="3"/>
  <c r="J56" i="3"/>
  <c r="K56" i="3"/>
  <c r="L56" i="3"/>
  <c r="I57" i="3"/>
  <c r="J57" i="3"/>
  <c r="K57" i="3"/>
  <c r="L57" i="3"/>
  <c r="I58" i="3"/>
  <c r="J58" i="3"/>
  <c r="K58" i="3"/>
  <c r="L58" i="3"/>
  <c r="I59" i="3"/>
  <c r="J59" i="3"/>
  <c r="K59" i="3"/>
  <c r="L59" i="3"/>
  <c r="I60" i="3"/>
  <c r="J60" i="3"/>
  <c r="K60" i="3"/>
  <c r="L60" i="3"/>
  <c r="I61" i="3"/>
  <c r="J61" i="3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I70" i="3"/>
  <c r="J70" i="3"/>
  <c r="K70" i="3"/>
  <c r="L70" i="3"/>
  <c r="I71" i="3"/>
  <c r="J71" i="3"/>
  <c r="K71" i="3"/>
  <c r="L71" i="3"/>
  <c r="I72" i="3"/>
  <c r="J72" i="3"/>
  <c r="K72" i="3"/>
  <c r="L72" i="3"/>
  <c r="I73" i="3"/>
  <c r="J73" i="3"/>
  <c r="K73" i="3"/>
  <c r="L73" i="3"/>
  <c r="I74" i="3"/>
  <c r="J74" i="3"/>
  <c r="K74" i="3"/>
  <c r="L74" i="3"/>
  <c r="I75" i="3"/>
  <c r="J75" i="3"/>
  <c r="K75" i="3"/>
  <c r="L75" i="3"/>
  <c r="I76" i="3"/>
  <c r="J76" i="3"/>
  <c r="K76" i="3"/>
  <c r="L76" i="3"/>
  <c r="I77" i="3"/>
  <c r="J77" i="3"/>
  <c r="K77" i="3"/>
  <c r="L77" i="3"/>
  <c r="I78" i="3"/>
  <c r="J78" i="3"/>
  <c r="K78" i="3"/>
  <c r="L78" i="3"/>
  <c r="I79" i="3"/>
  <c r="J79" i="3"/>
  <c r="K79" i="3"/>
  <c r="L79" i="3"/>
  <c r="I80" i="3"/>
  <c r="J80" i="3"/>
  <c r="K80" i="3"/>
  <c r="L80" i="3"/>
  <c r="I81" i="3"/>
  <c r="J81" i="3"/>
  <c r="K81" i="3"/>
  <c r="L81" i="3"/>
  <c r="L11" i="3"/>
  <c r="K11" i="3"/>
  <c r="J11" i="3"/>
  <c r="I11" i="3"/>
  <c r="I3" i="3"/>
  <c r="J3" i="3"/>
  <c r="K3" i="3"/>
  <c r="L3" i="3"/>
  <c r="I4" i="3"/>
  <c r="J4" i="3"/>
  <c r="K4" i="3"/>
  <c r="L4" i="3"/>
  <c r="I5" i="3"/>
  <c r="J5" i="3"/>
  <c r="K5" i="3"/>
  <c r="L5" i="3"/>
  <c r="I6" i="3"/>
  <c r="J6" i="3"/>
  <c r="K6" i="3"/>
  <c r="L6" i="3"/>
  <c r="I7" i="3"/>
  <c r="J7" i="3"/>
  <c r="K7" i="3"/>
  <c r="L7" i="3"/>
  <c r="I8" i="3"/>
  <c r="J8" i="3"/>
  <c r="K8" i="3"/>
  <c r="L8" i="3"/>
  <c r="I9" i="3"/>
  <c r="J9" i="3"/>
  <c r="K9" i="3"/>
  <c r="L9" i="3"/>
  <c r="I10" i="3"/>
  <c r="J10" i="3"/>
  <c r="K10" i="3"/>
  <c r="L10" i="3"/>
  <c r="L2" i="3"/>
  <c r="K2" i="3"/>
  <c r="J2" i="3"/>
  <c r="I2" i="3"/>
  <c r="D6" i="8" l="1"/>
  <c r="D2" i="8"/>
  <c r="M14" i="3" l="1"/>
  <c r="M82" i="3"/>
  <c r="N17" i="3"/>
  <c r="N82" i="3"/>
  <c r="M65" i="3"/>
  <c r="N3" i="3"/>
  <c r="M66" i="3"/>
  <c r="N38" i="3"/>
  <c r="N74" i="3"/>
  <c r="M51" i="3"/>
  <c r="N27" i="3"/>
  <c r="N76" i="3"/>
  <c r="M37" i="3"/>
  <c r="N13" i="3"/>
  <c r="N59" i="3"/>
  <c r="N33" i="3"/>
  <c r="M43" i="3"/>
  <c r="N2" i="3"/>
  <c r="N19" i="3"/>
  <c r="N56" i="3"/>
  <c r="M35" i="3"/>
  <c r="M29" i="3"/>
  <c r="N30" i="3"/>
  <c r="M40" i="3"/>
  <c r="M8" i="3"/>
  <c r="N8" i="3"/>
  <c r="N36" i="3"/>
  <c r="N61" i="3"/>
  <c r="N44" i="3"/>
  <c r="M46" i="3"/>
  <c r="N22" i="3"/>
  <c r="N25" i="3"/>
  <c r="M11" i="3"/>
  <c r="M47" i="3"/>
  <c r="M64" i="3"/>
  <c r="M72" i="3"/>
  <c r="M76" i="3"/>
  <c r="M78" i="3"/>
  <c r="N39" i="3"/>
  <c r="N77" i="3"/>
  <c r="M49" i="3"/>
  <c r="N37" i="3"/>
  <c r="N28" i="3"/>
  <c r="M2" i="3"/>
  <c r="M68" i="3"/>
  <c r="M57" i="3"/>
  <c r="M38" i="3"/>
  <c r="M71" i="3"/>
  <c r="M81" i="3"/>
  <c r="M13" i="3"/>
  <c r="M55" i="3"/>
  <c r="N46" i="3"/>
  <c r="N31" i="3"/>
  <c r="M50" i="3"/>
  <c r="N20" i="3"/>
  <c r="M61" i="3"/>
  <c r="N16" i="3"/>
  <c r="M63" i="3"/>
  <c r="M69" i="3"/>
  <c r="M62" i="3"/>
  <c r="N48" i="3"/>
  <c r="M7" i="3"/>
  <c r="N26" i="3"/>
  <c r="N51" i="3"/>
  <c r="M80" i="3"/>
  <c r="M16" i="3"/>
  <c r="M67" i="3"/>
  <c r="N55" i="3"/>
  <c r="N34" i="3"/>
  <c r="N41" i="3"/>
  <c r="N65" i="3"/>
  <c r="M5" i="3"/>
  <c r="N11" i="3"/>
  <c r="M15" i="3"/>
  <c r="N21" i="3"/>
  <c r="M75" i="3"/>
  <c r="N4" i="3"/>
  <c r="M6" i="3"/>
  <c r="M30" i="3"/>
  <c r="M33" i="3"/>
  <c r="N10" i="3"/>
  <c r="N60" i="3"/>
  <c r="N68" i="3"/>
  <c r="N57" i="3"/>
  <c r="N35" i="3"/>
  <c r="M19" i="3"/>
  <c r="M79" i="3"/>
  <c r="N73" i="3"/>
  <c r="N40" i="3"/>
  <c r="N14" i="3"/>
  <c r="M89" i="3"/>
  <c r="M88" i="3"/>
  <c r="M86" i="3"/>
  <c r="M85" i="3"/>
  <c r="M83" i="3"/>
  <c r="M90" i="3"/>
  <c r="M87" i="3"/>
  <c r="M84" i="3"/>
  <c r="M58" i="3"/>
  <c r="N62" i="3"/>
  <c r="M22" i="3"/>
  <c r="N58" i="3"/>
  <c r="M41" i="3"/>
  <c r="N43" i="3"/>
  <c r="M17" i="3"/>
  <c r="N88" i="3"/>
  <c r="N83" i="3"/>
  <c r="N85" i="3"/>
  <c r="N90" i="3"/>
  <c r="N87" i="3"/>
  <c r="N84" i="3"/>
  <c r="N89" i="3"/>
  <c r="N86" i="3"/>
  <c r="N70" i="3"/>
  <c r="N66" i="3"/>
  <c r="M42" i="3"/>
  <c r="N52" i="3"/>
  <c r="N72" i="3"/>
  <c r="N15" i="3"/>
  <c r="N69" i="3"/>
  <c r="N6" i="3"/>
  <c r="M25" i="3"/>
  <c r="M59" i="3"/>
  <c r="M77" i="3"/>
  <c r="N49" i="3"/>
  <c r="M20" i="3"/>
  <c r="N32" i="3"/>
  <c r="M32" i="3"/>
  <c r="N67" i="3"/>
  <c r="M18" i="3"/>
  <c r="M24" i="3"/>
  <c r="N79" i="3"/>
  <c r="M56" i="3"/>
  <c r="M52" i="3"/>
  <c r="M73" i="3"/>
  <c r="M36" i="3"/>
  <c r="N63" i="3"/>
  <c r="M44" i="3"/>
  <c r="M74" i="3"/>
  <c r="M53" i="3"/>
  <c r="N78" i="3"/>
  <c r="N18" i="3"/>
  <c r="N75" i="3"/>
  <c r="M28" i="3"/>
  <c r="M31" i="3"/>
  <c r="M9" i="3"/>
  <c r="N47" i="3"/>
  <c r="N64" i="3"/>
  <c r="M23" i="3"/>
  <c r="N53" i="3"/>
  <c r="M12" i="3"/>
  <c r="N29" i="3"/>
  <c r="N9" i="3"/>
  <c r="M4" i="3"/>
  <c r="M10" i="3"/>
  <c r="N42" i="3"/>
  <c r="M27" i="3"/>
  <c r="N45" i="3"/>
  <c r="N54" i="3"/>
  <c r="M21" i="3"/>
  <c r="N12" i="3"/>
  <c r="M39" i="3"/>
  <c r="M54" i="3"/>
  <c r="M45" i="3"/>
  <c r="M60" i="3"/>
  <c r="N50" i="3"/>
  <c r="M48" i="3"/>
  <c r="M3" i="3"/>
  <c r="N7" i="3"/>
  <c r="N24" i="3"/>
  <c r="N81" i="3"/>
  <c r="M70" i="3"/>
  <c r="M34" i="3"/>
  <c r="N23" i="3"/>
  <c r="N80" i="3"/>
  <c r="N5" i="3"/>
  <c r="M26" i="3"/>
  <c r="N71" i="3"/>
  <c r="J3" i="5"/>
  <c r="J4" i="5"/>
  <c r="J5" i="5"/>
  <c r="J6" i="5"/>
  <c r="J7" i="5"/>
  <c r="J8" i="5"/>
  <c r="J9" i="5"/>
  <c r="J11" i="5"/>
  <c r="J10" i="5"/>
  <c r="J15" i="5"/>
  <c r="J12" i="5"/>
  <c r="J14" i="5"/>
  <c r="J18" i="5"/>
  <c r="J2" i="5"/>
  <c r="J3" i="4"/>
  <c r="J4" i="4"/>
  <c r="J5" i="4"/>
  <c r="J6" i="4"/>
  <c r="J7" i="4"/>
  <c r="J8" i="4"/>
  <c r="J9" i="4"/>
  <c r="J10" i="4"/>
  <c r="J12" i="4"/>
  <c r="J11" i="4"/>
  <c r="J14" i="4"/>
  <c r="J15" i="4"/>
  <c r="J16" i="4"/>
  <c r="J13" i="4"/>
  <c r="J17" i="4"/>
  <c r="J19" i="4"/>
  <c r="J18" i="4"/>
  <c r="J2" i="4"/>
  <c r="I3" i="5" l="1"/>
  <c r="I5" i="5"/>
  <c r="I4" i="5"/>
  <c r="I6" i="5"/>
  <c r="I7" i="5"/>
  <c r="I8" i="5"/>
  <c r="I9" i="5"/>
  <c r="I11" i="5"/>
  <c r="I10" i="5"/>
  <c r="I15" i="5"/>
  <c r="I12" i="5"/>
  <c r="I13" i="5"/>
  <c r="I14" i="5"/>
  <c r="I17" i="5"/>
  <c r="I16" i="5"/>
  <c r="I18" i="5"/>
  <c r="I19" i="5"/>
  <c r="I2" i="5"/>
  <c r="I2" i="4" l="1"/>
  <c r="I8" i="4"/>
  <c r="I10" i="4"/>
  <c r="I4" i="4"/>
  <c r="I5" i="4"/>
  <c r="I6" i="4"/>
  <c r="I12" i="4"/>
  <c r="I9" i="4"/>
  <c r="I7" i="4"/>
  <c r="I11" i="4"/>
  <c r="I14" i="4"/>
  <c r="I15" i="4"/>
  <c r="I16" i="4"/>
  <c r="I13" i="4"/>
  <c r="I17" i="4"/>
  <c r="I19" i="4"/>
  <c r="I18" i="4"/>
  <c r="I3" i="4"/>
</calcChain>
</file>

<file path=xl/sharedStrings.xml><?xml version="1.0" encoding="utf-8"?>
<sst xmlns="http://schemas.openxmlformats.org/spreadsheetml/2006/main" count="1814" uniqueCount="210">
  <si>
    <t>Club</t>
  </si>
  <si>
    <t>Ciudad</t>
  </si>
  <si>
    <t>Altitud_msnm</t>
  </si>
  <si>
    <t>Tipo_Clima</t>
  </si>
  <si>
    <t>Tipo_Cancha</t>
  </si>
  <si>
    <t>ADT</t>
  </si>
  <si>
    <t>Tarma</t>
  </si>
  <si>
    <t>Altura Extremada</t>
  </si>
  <si>
    <t>Natural</t>
  </si>
  <si>
    <t>Alianza Atlético</t>
  </si>
  <si>
    <t>Sullana</t>
  </si>
  <si>
    <t>Calor Extremo</t>
  </si>
  <si>
    <t>Alianza Lima</t>
  </si>
  <si>
    <t>Lima</t>
  </si>
  <si>
    <t>Llano</t>
  </si>
  <si>
    <t>Atlético Grau</t>
  </si>
  <si>
    <t>Piura</t>
  </si>
  <si>
    <t>Cienciano</t>
  </si>
  <si>
    <t>Cusco</t>
  </si>
  <si>
    <t>Comerciantes Unidos</t>
  </si>
  <si>
    <t>Cutervo</t>
  </si>
  <si>
    <t>Altura Media</t>
  </si>
  <si>
    <t>Sintético</t>
  </si>
  <si>
    <t>Cusco FC</t>
  </si>
  <si>
    <t>Sport Huancayo</t>
  </si>
  <si>
    <t>Huancayo</t>
  </si>
  <si>
    <t>Deportivo Garcilaso</t>
  </si>
  <si>
    <t>CD Moquegua</t>
  </si>
  <si>
    <t>Moquegua</t>
  </si>
  <si>
    <t>Altura Media/Calor</t>
  </si>
  <si>
    <t>FC Cajamarca</t>
  </si>
  <si>
    <t>Cajamarca</t>
  </si>
  <si>
    <t>Juan Pablo II College</t>
  </si>
  <si>
    <t>Chongoyape</t>
  </si>
  <si>
    <t>Calor</t>
  </si>
  <si>
    <t>Chankas CYC</t>
  </si>
  <si>
    <t>Andahuaylas</t>
  </si>
  <si>
    <t>Melgar</t>
  </si>
  <si>
    <t>Arequipa</t>
  </si>
  <si>
    <t>Sport Boys</t>
  </si>
  <si>
    <t>Callao</t>
  </si>
  <si>
    <t>Llano/Humedad</t>
  </si>
  <si>
    <t>Sporting Cristal</t>
  </si>
  <si>
    <t>Universitario</t>
  </si>
  <si>
    <t>UTC Cajamarca</t>
  </si>
  <si>
    <t>Jornada</t>
  </si>
  <si>
    <t>Hora</t>
  </si>
  <si>
    <t>Local</t>
  </si>
  <si>
    <t>Visita</t>
  </si>
  <si>
    <t>Estadio</t>
  </si>
  <si>
    <t>Altitud_Local</t>
  </si>
  <si>
    <t>Altitud_Visita</t>
  </si>
  <si>
    <t>Delta_Altitud_msnm</t>
  </si>
  <si>
    <t>Dias_Descanso_Local</t>
  </si>
  <si>
    <t>Dias_Descanso_Visita</t>
  </si>
  <si>
    <t>Jornada 8</t>
  </si>
  <si>
    <t>Estadio Héroes de San Ramón</t>
  </si>
  <si>
    <t>Estadio Campeones del 36</t>
  </si>
  <si>
    <t>Estadio IPD Huancayo</t>
  </si>
  <si>
    <t>Estadio Inca Garcilaso de la Vega</t>
  </si>
  <si>
    <t>Estadio Alberto Gallardo</t>
  </si>
  <si>
    <t>Complejo Deportivo Juan Pablo II</t>
  </si>
  <si>
    <t>Estadio Monumental UNSA</t>
  </si>
  <si>
    <t>Jornada 9</t>
  </si>
  <si>
    <t>Estadio Juan Maldonado Gamarra</t>
  </si>
  <si>
    <t>Estadio 25 de Noviembre</t>
  </si>
  <si>
    <t>Estadio Alejandro Villanueva</t>
  </si>
  <si>
    <t>Goles_Local</t>
  </si>
  <si>
    <t>Goles_Visita</t>
  </si>
  <si>
    <t>xG_Local</t>
  </si>
  <si>
    <t>xG_Visita</t>
  </si>
  <si>
    <t>Jornada 1</t>
  </si>
  <si>
    <t>Jornada 2</t>
  </si>
  <si>
    <t>Jornada 3</t>
  </si>
  <si>
    <t>Jornada 4</t>
  </si>
  <si>
    <t>Jornada 5</t>
  </si>
  <si>
    <t>Jornada 6</t>
  </si>
  <si>
    <t>Jornada 7</t>
  </si>
  <si>
    <t>Pos</t>
  </si>
  <si>
    <t>PJ</t>
  </si>
  <si>
    <t>PG</t>
  </si>
  <si>
    <t>PE</t>
  </si>
  <si>
    <t>PP</t>
  </si>
  <si>
    <t>GF</t>
  </si>
  <si>
    <t>GC</t>
  </si>
  <si>
    <t>DG</t>
  </si>
  <si>
    <t>Pts</t>
  </si>
  <si>
    <t>Rango</t>
  </si>
  <si>
    <t>Situación Actual</t>
  </si>
  <si>
    <t>Copa Libertadores (Fase de Grupos)</t>
  </si>
  <si>
    <t>Copa Libertadores (Pre-eliminatoria)</t>
  </si>
  <si>
    <t>Copa Sudamericana</t>
  </si>
  <si>
    <t>Zona Media</t>
  </si>
  <si>
    <t>Peligro de Descenso</t>
  </si>
  <si>
    <t>Zona de Riesgo Directo</t>
  </si>
  <si>
    <t>Zona de Descenso Directo</t>
  </si>
  <si>
    <t>Fecha</t>
  </si>
  <si>
    <t>Dia</t>
  </si>
  <si>
    <t>Viernes</t>
  </si>
  <si>
    <t>Sábado</t>
  </si>
  <si>
    <t>Domingo</t>
  </si>
  <si>
    <t>Estadio Miguel Grau</t>
  </si>
  <si>
    <t>Jornada 10</t>
  </si>
  <si>
    <t>Fecha 1</t>
  </si>
  <si>
    <t>1,23</t>
  </si>
  <si>
    <t>1,30</t>
  </si>
  <si>
    <t>1,67</t>
  </si>
  <si>
    <t>0,30</t>
  </si>
  <si>
    <t>0,90</t>
  </si>
  <si>
    <t>0,80</t>
  </si>
  <si>
    <t>1,92</t>
  </si>
  <si>
    <t>1,80</t>
  </si>
  <si>
    <t>1,63</t>
  </si>
  <si>
    <t>1,24</t>
  </si>
  <si>
    <t>0,91</t>
  </si>
  <si>
    <t>1,41</t>
  </si>
  <si>
    <t>1,16</t>
  </si>
  <si>
    <t>Fecha 2</t>
  </si>
  <si>
    <t>1,54</t>
  </si>
  <si>
    <t>1,21</t>
  </si>
  <si>
    <t>0,40</t>
  </si>
  <si>
    <t>0,92</t>
  </si>
  <si>
    <t>1,19</t>
  </si>
  <si>
    <t>3,74</t>
  </si>
  <si>
    <t>1,18</t>
  </si>
  <si>
    <t>Fecha 3</t>
  </si>
  <si>
    <t>0,42</t>
  </si>
  <si>
    <t>0,41</t>
  </si>
  <si>
    <t>1,73</t>
  </si>
  <si>
    <t>2,63</t>
  </si>
  <si>
    <t>Fecha 4</t>
  </si>
  <si>
    <t>2,17</t>
  </si>
  <si>
    <t>1,70</t>
  </si>
  <si>
    <t>2,19</t>
  </si>
  <si>
    <t>2,24</t>
  </si>
  <si>
    <t>1,04</t>
  </si>
  <si>
    <t>Fecha 5</t>
  </si>
  <si>
    <t>1,13</t>
  </si>
  <si>
    <t>1,74</t>
  </si>
  <si>
    <t>0,68</t>
  </si>
  <si>
    <t>2,16</t>
  </si>
  <si>
    <t>1,42</t>
  </si>
  <si>
    <t>Fecha 6</t>
  </si>
  <si>
    <t>1,91</t>
  </si>
  <si>
    <t>Fecha 7</t>
  </si>
  <si>
    <t>2,30</t>
  </si>
  <si>
    <t>0,73</t>
  </si>
  <si>
    <t>0,63</t>
  </si>
  <si>
    <t>Fecha 8</t>
  </si>
  <si>
    <t>0,66</t>
  </si>
  <si>
    <t>1,90</t>
  </si>
  <si>
    <t>Fecha 9</t>
  </si>
  <si>
    <t>Fecha 10</t>
  </si>
  <si>
    <t>2,04</t>
  </si>
  <si>
    <t>0,71</t>
  </si>
  <si>
    <t>2,40</t>
  </si>
  <si>
    <t>2,42</t>
  </si>
  <si>
    <t>Fecha 11</t>
  </si>
  <si>
    <t>1,69</t>
  </si>
  <si>
    <t>4,42</t>
  </si>
  <si>
    <t>Fecha 12</t>
  </si>
  <si>
    <t>2,71</t>
  </si>
  <si>
    <t>Fecha 13</t>
  </si>
  <si>
    <t>2,41</t>
  </si>
  <si>
    <t>0,69</t>
  </si>
  <si>
    <t>Fecha 14</t>
  </si>
  <si>
    <t>Fecha 15</t>
  </si>
  <si>
    <t>0,74</t>
  </si>
  <si>
    <t>Fecha 16</t>
  </si>
  <si>
    <t>0,54</t>
  </si>
  <si>
    <t>Fecha 17</t>
  </si>
  <si>
    <t>2,74</t>
  </si>
  <si>
    <t>2,13</t>
  </si>
  <si>
    <t>Visitante</t>
  </si>
  <si>
    <t>GL</t>
  </si>
  <si>
    <t>GV</t>
  </si>
  <si>
    <t>Temporada</t>
  </si>
  <si>
    <t>PERÚ Liga 1</t>
  </si>
  <si>
    <t>Apertura 2023</t>
  </si>
  <si>
    <t>Fase II 2022</t>
  </si>
  <si>
    <t>Liga 1 2022</t>
  </si>
  <si>
    <t>Fase 2 2021</t>
  </si>
  <si>
    <t>Apertura 2020</t>
  </si>
  <si>
    <t>Clausura 2019</t>
  </si>
  <si>
    <t>Apertura 2019</t>
  </si>
  <si>
    <t>Clausura 2018</t>
  </si>
  <si>
    <t>Clausura 2023</t>
  </si>
  <si>
    <t>Primera División 2022 Clausura</t>
  </si>
  <si>
    <t>Primera División 2022 Apertura</t>
  </si>
  <si>
    <t>INT CF (Amistoso)</t>
  </si>
  <si>
    <t>tarjeta de circuito impreso</t>
  </si>
  <si>
    <t>Alianza Atletico</t>
  </si>
  <si>
    <t>PERÚ Liga 2</t>
  </si>
  <si>
    <t>Jornada 11</t>
  </si>
  <si>
    <r>
      <rPr>
        <b/>
        <sz val="12"/>
        <color theme="1"/>
        <rFont val="Symbol"/>
        <family val="1"/>
        <charset val="2"/>
      </rPr>
      <t>m</t>
    </r>
    <r>
      <rPr>
        <b/>
        <vertAlign val="subscript"/>
        <sz val="12"/>
        <color theme="1"/>
        <rFont val="Calibri"/>
        <family val="2"/>
        <scheme val="minor"/>
      </rPr>
      <t>Goles Local</t>
    </r>
    <r>
      <rPr>
        <b/>
        <sz val="12"/>
        <color theme="1"/>
        <rFont val="Calibri"/>
        <family val="2"/>
        <scheme val="minor"/>
      </rPr>
      <t xml:space="preserve"> =</t>
    </r>
  </si>
  <si>
    <t>Total Goles anotados por los Locales</t>
  </si>
  <si>
    <t>Total Partidos Jugados (Apertura + Clausura a la fecha)</t>
  </si>
  <si>
    <r>
      <rPr>
        <b/>
        <sz val="12"/>
        <color theme="1"/>
        <rFont val="Symbol"/>
        <family val="1"/>
        <charset val="2"/>
      </rPr>
      <t>m</t>
    </r>
    <r>
      <rPr>
        <b/>
        <vertAlign val="subscript"/>
        <sz val="12"/>
        <color theme="1"/>
        <rFont val="Calibri"/>
        <family val="2"/>
        <scheme val="minor"/>
      </rPr>
      <t>Goles Visita</t>
    </r>
    <r>
      <rPr>
        <b/>
        <sz val="12"/>
        <color theme="1"/>
        <rFont val="Calibri"/>
        <family val="2"/>
        <scheme val="minor"/>
      </rPr>
      <t xml:space="preserve"> =</t>
    </r>
  </si>
  <si>
    <t>Total Goles anotados por los Visitantes</t>
  </si>
  <si>
    <t>Prom_GF_Local</t>
  </si>
  <si>
    <t>Prom_GC_Local</t>
  </si>
  <si>
    <t>Prom_GF_Visita</t>
  </si>
  <si>
    <t>Prom_GC_Visita</t>
  </si>
  <si>
    <r>
      <rPr>
        <b/>
        <sz val="12"/>
        <color theme="1"/>
        <rFont val="Symbol"/>
        <family val="1"/>
        <charset val="2"/>
      </rPr>
      <t>m</t>
    </r>
    <r>
      <rPr>
        <b/>
        <vertAlign val="subscript"/>
        <sz val="12"/>
        <color theme="1"/>
        <rFont val="Calibri"/>
        <family val="2"/>
        <scheme val="minor"/>
      </rPr>
      <t>Liga</t>
    </r>
    <r>
      <rPr>
        <b/>
        <sz val="12"/>
        <color theme="1"/>
        <rFont val="Calibri"/>
        <family val="2"/>
        <scheme val="minor"/>
      </rPr>
      <t xml:space="preserve"> =</t>
    </r>
  </si>
  <si>
    <t>Total Goles de la Liga</t>
  </si>
  <si>
    <t>Total Partidos Jugados en la Liga</t>
  </si>
  <si>
    <t>Jornada 12</t>
  </si>
  <si>
    <t>Estadio Los Chankas</t>
  </si>
  <si>
    <t>Jornada 13</t>
  </si>
  <si>
    <t>Estadio Monumental de 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</si>
</sst>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vertAlign val="subscript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1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C8FF-65BF-46C5-BA6F-FDF676811D8B}">
  <dimension ref="A1:E19"/>
  <sheetViews>
    <sheetView workbookViewId="0">
      <selection activeCell="E30" sqref="E30"/>
    </sheetView>
  </sheetViews>
  <sheetFormatPr baseColWidth="10" defaultRowHeight="15"/>
  <cols>
    <col min="1" max="1" width="19.85546875" bestFit="1" customWidth="1"/>
    <col min="3" max="3" width="13.5703125" bestFit="1" customWidth="1"/>
    <col min="4" max="4" width="18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3050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50</v>
      </c>
      <c r="D3" t="s">
        <v>11</v>
      </c>
      <c r="E3" t="s">
        <v>8</v>
      </c>
    </row>
    <row r="4" spans="1:5">
      <c r="A4" t="s">
        <v>12</v>
      </c>
      <c r="B4" t="s">
        <v>13</v>
      </c>
      <c r="C4">
        <v>150</v>
      </c>
      <c r="D4" t="s">
        <v>14</v>
      </c>
      <c r="E4" t="s">
        <v>8</v>
      </c>
    </row>
    <row r="5" spans="1:5">
      <c r="A5" t="s">
        <v>15</v>
      </c>
      <c r="B5" t="s">
        <v>16</v>
      </c>
      <c r="C5">
        <v>50</v>
      </c>
      <c r="D5" t="s">
        <v>11</v>
      </c>
      <c r="E5" t="s">
        <v>8</v>
      </c>
    </row>
    <row r="6" spans="1:5">
      <c r="A6" t="s">
        <v>17</v>
      </c>
      <c r="B6" t="s">
        <v>18</v>
      </c>
      <c r="C6">
        <v>3399</v>
      </c>
      <c r="D6" t="s">
        <v>7</v>
      </c>
      <c r="E6" t="s">
        <v>8</v>
      </c>
    </row>
    <row r="7" spans="1:5">
      <c r="A7" t="s">
        <v>19</v>
      </c>
      <c r="B7" t="s">
        <v>20</v>
      </c>
      <c r="C7">
        <v>2620</v>
      </c>
      <c r="D7" t="s">
        <v>21</v>
      </c>
      <c r="E7" t="s">
        <v>22</v>
      </c>
    </row>
    <row r="8" spans="1:5">
      <c r="A8" t="s">
        <v>23</v>
      </c>
      <c r="B8" t="s">
        <v>18</v>
      </c>
      <c r="C8">
        <v>3399</v>
      </c>
      <c r="D8" t="s">
        <v>7</v>
      </c>
      <c r="E8" t="s">
        <v>8</v>
      </c>
    </row>
    <row r="9" spans="1:5">
      <c r="A9" t="s">
        <v>24</v>
      </c>
      <c r="B9" t="s">
        <v>25</v>
      </c>
      <c r="C9">
        <v>3259</v>
      </c>
      <c r="D9" t="s">
        <v>7</v>
      </c>
      <c r="E9" t="s">
        <v>8</v>
      </c>
    </row>
    <row r="10" spans="1:5">
      <c r="A10" t="s">
        <v>26</v>
      </c>
      <c r="B10" t="s">
        <v>18</v>
      </c>
      <c r="C10">
        <v>3399</v>
      </c>
      <c r="D10" t="s">
        <v>7</v>
      </c>
      <c r="E10" t="s">
        <v>8</v>
      </c>
    </row>
    <row r="11" spans="1:5">
      <c r="A11" t="s">
        <v>27</v>
      </c>
      <c r="B11" t="s">
        <v>28</v>
      </c>
      <c r="C11">
        <v>1410</v>
      </c>
      <c r="D11" t="s">
        <v>29</v>
      </c>
      <c r="E11" t="s">
        <v>8</v>
      </c>
    </row>
    <row r="12" spans="1:5">
      <c r="A12" t="s">
        <v>30</v>
      </c>
      <c r="B12" t="s">
        <v>31</v>
      </c>
      <c r="C12">
        <v>2750</v>
      </c>
      <c r="D12" t="s">
        <v>21</v>
      </c>
      <c r="E12" t="s">
        <v>22</v>
      </c>
    </row>
    <row r="13" spans="1:5">
      <c r="A13" t="s">
        <v>32</v>
      </c>
      <c r="B13" t="s">
        <v>33</v>
      </c>
      <c r="C13">
        <v>150</v>
      </c>
      <c r="D13" t="s">
        <v>34</v>
      </c>
      <c r="E13" t="s">
        <v>8</v>
      </c>
    </row>
    <row r="14" spans="1:5">
      <c r="A14" t="s">
        <v>35</v>
      </c>
      <c r="B14" t="s">
        <v>36</v>
      </c>
      <c r="C14">
        <v>2920</v>
      </c>
      <c r="D14" t="s">
        <v>7</v>
      </c>
      <c r="E14" t="s">
        <v>8</v>
      </c>
    </row>
    <row r="15" spans="1:5">
      <c r="A15" t="s">
        <v>37</v>
      </c>
      <c r="B15" t="s">
        <v>38</v>
      </c>
      <c r="C15">
        <v>2335</v>
      </c>
      <c r="D15" t="s">
        <v>21</v>
      </c>
      <c r="E15" t="s">
        <v>8</v>
      </c>
    </row>
    <row r="16" spans="1:5">
      <c r="A16" t="s">
        <v>39</v>
      </c>
      <c r="B16" t="s">
        <v>40</v>
      </c>
      <c r="C16">
        <v>10</v>
      </c>
      <c r="D16" t="s">
        <v>41</v>
      </c>
      <c r="E16" t="s">
        <v>8</v>
      </c>
    </row>
    <row r="17" spans="1:5">
      <c r="A17" t="s">
        <v>42</v>
      </c>
      <c r="B17" t="s">
        <v>13</v>
      </c>
      <c r="C17">
        <v>150</v>
      </c>
      <c r="D17" t="s">
        <v>14</v>
      </c>
      <c r="E17" t="s">
        <v>8</v>
      </c>
    </row>
    <row r="18" spans="1:5">
      <c r="A18" t="s">
        <v>43</v>
      </c>
      <c r="B18" t="s">
        <v>13</v>
      </c>
      <c r="C18">
        <v>150</v>
      </c>
      <c r="D18" t="s">
        <v>14</v>
      </c>
      <c r="E18" t="s">
        <v>8</v>
      </c>
    </row>
    <row r="19" spans="1:5">
      <c r="A19" t="s">
        <v>44</v>
      </c>
      <c r="B19" t="s">
        <v>31</v>
      </c>
      <c r="C19">
        <v>2750</v>
      </c>
      <c r="D19" t="s">
        <v>21</v>
      </c>
      <c r="E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765B-6A9C-48D0-8A54-733808D8C2D8}">
  <dimension ref="A1:M41"/>
  <sheetViews>
    <sheetView workbookViewId="0">
      <selection activeCell="L2" sqref="L2"/>
    </sheetView>
  </sheetViews>
  <sheetFormatPr baseColWidth="10" defaultRowHeight="15"/>
  <cols>
    <col min="1" max="1" width="10" bestFit="1" customWidth="1"/>
    <col min="2" max="2" width="10.5703125" bestFit="1" customWidth="1"/>
    <col min="3" max="3" width="9" bestFit="1" customWidth="1"/>
    <col min="4" max="4" width="8.140625" bestFit="1" customWidth="1"/>
    <col min="5" max="6" width="19.85546875" bestFit="1" customWidth="1"/>
    <col min="7" max="7" width="30.7109375" bestFit="1" customWidth="1"/>
    <col min="8" max="8" width="12.28515625" bestFit="1" customWidth="1"/>
    <col min="9" max="9" width="12.5703125" bestFit="1" customWidth="1"/>
    <col min="10" max="10" width="13.140625" bestFit="1" customWidth="1"/>
    <col min="11" max="11" width="19.42578125" bestFit="1" customWidth="1"/>
    <col min="12" max="12" width="19.5703125" bestFit="1" customWidth="1"/>
    <col min="13" max="13" width="20.140625" bestFit="1" customWidth="1"/>
  </cols>
  <sheetData>
    <row r="1" spans="1:13" s="1" customFormat="1">
      <c r="A1" s="1" t="s">
        <v>45</v>
      </c>
      <c r="B1" s="1" t="s">
        <v>96</v>
      </c>
      <c r="C1" s="1" t="s">
        <v>97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1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206</v>
      </c>
      <c r="B2" s="3">
        <v>46311</v>
      </c>
      <c r="C2" t="s">
        <v>98</v>
      </c>
      <c r="D2" s="2">
        <v>0.54166666666666663</v>
      </c>
      <c r="E2" t="s">
        <v>24</v>
      </c>
      <c r="F2" t="s">
        <v>23</v>
      </c>
      <c r="G2" t="s">
        <v>58</v>
      </c>
      <c r="H2" t="s">
        <v>25</v>
      </c>
      <c r="I2">
        <f>VLOOKUP(E2,Data_Geografica!$A$2:$C$19,3,FALSE)</f>
        <v>3259</v>
      </c>
      <c r="J2">
        <f>VLOOKUP(F2,Data_Geografica!$A$2:$C$19,3,FALSE)</f>
        <v>3399</v>
      </c>
      <c r="K2">
        <f>IF(I2-J2&gt;0,I2-J2,0)</f>
        <v>0</v>
      </c>
      <c r="L2">
        <v>7</v>
      </c>
      <c r="M2">
        <v>7</v>
      </c>
    </row>
    <row r="3" spans="1:13">
      <c r="A3" t="s">
        <v>206</v>
      </c>
      <c r="B3" s="3">
        <v>46311</v>
      </c>
      <c r="C3" t="s">
        <v>98</v>
      </c>
      <c r="D3" s="2">
        <v>0.64583333333333337</v>
      </c>
      <c r="E3" t="s">
        <v>35</v>
      </c>
      <c r="F3" t="s">
        <v>5</v>
      </c>
      <c r="G3" t="s">
        <v>207</v>
      </c>
      <c r="H3" t="s">
        <v>36</v>
      </c>
      <c r="I3">
        <f>VLOOKUP(E3,Data_Geografica!$A$2:$C$19,3,FALSE)</f>
        <v>2920</v>
      </c>
      <c r="J3">
        <f>VLOOKUP(F3,Data_Geografica!$A$2:$C$19,3,FALSE)</f>
        <v>3050</v>
      </c>
      <c r="K3">
        <f t="shared" ref="K3:K19" si="0">IF(I3-J3&gt;0,I3-J3,0)</f>
        <v>0</v>
      </c>
      <c r="L3">
        <v>7</v>
      </c>
      <c r="M3">
        <v>7</v>
      </c>
    </row>
    <row r="4" spans="1:13">
      <c r="A4" t="s">
        <v>206</v>
      </c>
      <c r="B4" s="3">
        <v>46312</v>
      </c>
      <c r="C4" t="s">
        <v>99</v>
      </c>
      <c r="D4" s="2">
        <v>0.625</v>
      </c>
      <c r="E4" t="s">
        <v>32</v>
      </c>
      <c r="F4" t="s">
        <v>39</v>
      </c>
      <c r="G4" t="s">
        <v>61</v>
      </c>
      <c r="H4" t="s">
        <v>33</v>
      </c>
      <c r="I4">
        <f>VLOOKUP(E4,Data_Geografica!$A$2:$C$19,3,FALSE)</f>
        <v>150</v>
      </c>
      <c r="J4">
        <f>VLOOKUP(F4,Data_Geografica!$A$2:$C$19,3,FALSE)</f>
        <v>10</v>
      </c>
      <c r="K4">
        <f t="shared" si="0"/>
        <v>140</v>
      </c>
      <c r="L4">
        <v>7</v>
      </c>
      <c r="M4">
        <v>7</v>
      </c>
    </row>
    <row r="5" spans="1:13">
      <c r="A5" t="s">
        <v>206</v>
      </c>
      <c r="B5" s="3">
        <v>46312</v>
      </c>
      <c r="C5" t="s">
        <v>99</v>
      </c>
      <c r="D5" s="2">
        <v>0.75</v>
      </c>
      <c r="E5" t="s">
        <v>37</v>
      </c>
      <c r="F5" t="s">
        <v>26</v>
      </c>
      <c r="G5" t="s">
        <v>62</v>
      </c>
      <c r="H5" t="s">
        <v>38</v>
      </c>
      <c r="I5">
        <f>VLOOKUP(E5,Data_Geografica!$A$2:$C$19,3,FALSE)</f>
        <v>2335</v>
      </c>
      <c r="J5">
        <f>VLOOKUP(F5,Data_Geografica!$A$2:$C$19,3,FALSE)</f>
        <v>3399</v>
      </c>
      <c r="K5">
        <f t="shared" si="0"/>
        <v>0</v>
      </c>
      <c r="L5">
        <v>7</v>
      </c>
      <c r="M5">
        <v>7</v>
      </c>
    </row>
    <row r="6" spans="1:13">
      <c r="A6" t="s">
        <v>206</v>
      </c>
      <c r="B6" s="3">
        <v>46312</v>
      </c>
      <c r="C6" t="s">
        <v>99</v>
      </c>
      <c r="D6" s="2">
        <v>0.85416666666666663</v>
      </c>
      <c r="E6" t="s">
        <v>12</v>
      </c>
      <c r="F6" t="s">
        <v>15</v>
      </c>
      <c r="G6" t="s">
        <v>66</v>
      </c>
      <c r="H6" t="s">
        <v>13</v>
      </c>
      <c r="I6">
        <f>VLOOKUP(E6,Data_Geografica!$A$2:$C$19,3,FALSE)</f>
        <v>150</v>
      </c>
      <c r="J6">
        <f>VLOOKUP(F6,Data_Geografica!$A$2:$C$19,3,FALSE)</f>
        <v>50</v>
      </c>
      <c r="K6">
        <f t="shared" si="0"/>
        <v>100</v>
      </c>
      <c r="L6">
        <v>7</v>
      </c>
      <c r="M6">
        <v>7</v>
      </c>
    </row>
    <row r="7" spans="1:13">
      <c r="A7" t="s">
        <v>206</v>
      </c>
      <c r="B7" s="3">
        <v>46312</v>
      </c>
      <c r="C7" t="s">
        <v>99</v>
      </c>
      <c r="D7" s="2">
        <v>0.45833333333333331</v>
      </c>
      <c r="E7" t="s">
        <v>42</v>
      </c>
      <c r="F7" t="s">
        <v>19</v>
      </c>
      <c r="G7" t="s">
        <v>60</v>
      </c>
      <c r="H7" t="s">
        <v>13</v>
      </c>
      <c r="I7">
        <f>VLOOKUP(E7,Data_Geografica!$A$2:$C$19,3,FALSE)</f>
        <v>150</v>
      </c>
      <c r="J7">
        <f>VLOOKUP(F7,Data_Geografica!$A$2:$C$19,3,FALSE)</f>
        <v>2620</v>
      </c>
      <c r="K7">
        <f t="shared" si="0"/>
        <v>0</v>
      </c>
      <c r="L7">
        <v>7</v>
      </c>
      <c r="M7">
        <v>7</v>
      </c>
    </row>
    <row r="8" spans="1:13">
      <c r="A8" t="s">
        <v>206</v>
      </c>
      <c r="B8" s="3">
        <v>46313</v>
      </c>
      <c r="C8" t="s">
        <v>100</v>
      </c>
      <c r="D8" s="2">
        <v>0.54166666666666663</v>
      </c>
      <c r="E8" t="s">
        <v>30</v>
      </c>
      <c r="F8" t="s">
        <v>27</v>
      </c>
      <c r="G8" t="s">
        <v>56</v>
      </c>
      <c r="H8" t="s">
        <v>31</v>
      </c>
      <c r="I8">
        <f>VLOOKUP(E8,Data_Geografica!$A$2:$C$19,3,FALSE)</f>
        <v>2750</v>
      </c>
      <c r="J8">
        <f>VLOOKUP(F8,Data_Geografica!$A$2:$C$19,3,FALSE)</f>
        <v>1410</v>
      </c>
      <c r="K8">
        <f t="shared" si="0"/>
        <v>1340</v>
      </c>
      <c r="L8">
        <v>7</v>
      </c>
      <c r="M8">
        <v>7</v>
      </c>
    </row>
    <row r="9" spans="1:13">
      <c r="A9" t="s">
        <v>206</v>
      </c>
      <c r="B9" s="3">
        <v>46313</v>
      </c>
      <c r="C9" t="s">
        <v>100</v>
      </c>
      <c r="D9" s="2">
        <v>0.64583333333333337</v>
      </c>
      <c r="E9" t="s">
        <v>9</v>
      </c>
      <c r="F9" t="s">
        <v>43</v>
      </c>
      <c r="G9" t="s">
        <v>57</v>
      </c>
      <c r="H9" t="s">
        <v>10</v>
      </c>
      <c r="I9">
        <f>VLOOKUP(E9,Data_Geografica!$A$2:$C$19,3,FALSE)</f>
        <v>50</v>
      </c>
      <c r="J9">
        <f>VLOOKUP(F9,Data_Geografica!$A$2:$C$19,3,FALSE)</f>
        <v>150</v>
      </c>
      <c r="K9">
        <f t="shared" si="0"/>
        <v>0</v>
      </c>
      <c r="L9">
        <v>7</v>
      </c>
      <c r="M9">
        <v>7</v>
      </c>
    </row>
    <row r="10" spans="1:13">
      <c r="A10" t="s">
        <v>206</v>
      </c>
      <c r="B10" s="3">
        <v>46313</v>
      </c>
      <c r="C10" t="s">
        <v>100</v>
      </c>
      <c r="D10" s="2">
        <v>0.77083333333333337</v>
      </c>
      <c r="E10" t="s">
        <v>17</v>
      </c>
      <c r="F10" t="s">
        <v>44</v>
      </c>
      <c r="G10" t="s">
        <v>59</v>
      </c>
      <c r="H10" t="s">
        <v>18</v>
      </c>
      <c r="I10">
        <f>VLOOKUP(E10,Data_Geografica!$A$2:$C$19,3,FALSE)</f>
        <v>3399</v>
      </c>
      <c r="J10">
        <f>VLOOKUP(F10,Data_Geografica!$A$2:$C$19,3,FALSE)</f>
        <v>2750</v>
      </c>
      <c r="K10">
        <f t="shared" si="0"/>
        <v>649</v>
      </c>
      <c r="L10">
        <v>7</v>
      </c>
      <c r="M10">
        <v>7</v>
      </c>
    </row>
    <row r="11" spans="1:13">
      <c r="A11" s="5" t="s">
        <v>208</v>
      </c>
      <c r="B11" s="3">
        <v>46311</v>
      </c>
      <c r="C11" t="s">
        <v>98</v>
      </c>
      <c r="D11" s="2">
        <v>0.54166666666666663</v>
      </c>
      <c r="E11" t="s">
        <v>44</v>
      </c>
      <c r="F11" t="s">
        <v>37</v>
      </c>
      <c r="G11" t="s">
        <v>56</v>
      </c>
      <c r="H11" t="s">
        <v>25</v>
      </c>
      <c r="I11">
        <f>VLOOKUP(E11,Data_Geografica!$A$2:$C$19,3,FALSE)</f>
        <v>2750</v>
      </c>
      <c r="J11">
        <f>VLOOKUP(F11,Data_Geografica!$A$2:$C$19,3,FALSE)</f>
        <v>2335</v>
      </c>
      <c r="K11">
        <f t="shared" si="0"/>
        <v>415</v>
      </c>
      <c r="L11">
        <v>7</v>
      </c>
      <c r="M11">
        <v>7</v>
      </c>
    </row>
    <row r="12" spans="1:13">
      <c r="A12" t="s">
        <v>208</v>
      </c>
      <c r="B12" s="3">
        <v>46311</v>
      </c>
      <c r="C12" t="s">
        <v>98</v>
      </c>
      <c r="D12" s="2">
        <v>0.64583333333333337</v>
      </c>
      <c r="E12" t="s">
        <v>15</v>
      </c>
      <c r="F12" t="s">
        <v>5</v>
      </c>
      <c r="G12" t="s">
        <v>57</v>
      </c>
      <c r="H12" t="s">
        <v>36</v>
      </c>
      <c r="I12">
        <f>VLOOKUP(E12,Data_Geografica!$A$2:$C$19,3,FALSE)</f>
        <v>50</v>
      </c>
      <c r="J12">
        <f>VLOOKUP(F12,Data_Geografica!$A$2:$C$19,3,FALSE)</f>
        <v>3050</v>
      </c>
      <c r="K12">
        <f t="shared" si="0"/>
        <v>0</v>
      </c>
      <c r="L12">
        <v>7</v>
      </c>
      <c r="M12">
        <v>7</v>
      </c>
    </row>
    <row r="13" spans="1:13">
      <c r="A13" t="s">
        <v>208</v>
      </c>
      <c r="B13" s="3">
        <v>46312</v>
      </c>
      <c r="C13" t="s">
        <v>99</v>
      </c>
      <c r="D13" s="2">
        <v>0.625</v>
      </c>
      <c r="E13" t="s">
        <v>24</v>
      </c>
      <c r="F13" t="s">
        <v>9</v>
      </c>
      <c r="G13" t="s">
        <v>58</v>
      </c>
      <c r="H13" t="s">
        <v>33</v>
      </c>
      <c r="I13">
        <f>VLOOKUP(E13,Data_Geografica!$A$2:$C$19,3,FALSE)</f>
        <v>3259</v>
      </c>
      <c r="J13">
        <f>VLOOKUP(F13,Data_Geografica!$A$2:$C$19,3,FALSE)</f>
        <v>50</v>
      </c>
      <c r="K13">
        <f t="shared" si="0"/>
        <v>3209</v>
      </c>
      <c r="L13">
        <v>7</v>
      </c>
      <c r="M13">
        <v>7</v>
      </c>
    </row>
    <row r="14" spans="1:13">
      <c r="A14" t="s">
        <v>208</v>
      </c>
      <c r="B14" s="3">
        <v>46312</v>
      </c>
      <c r="C14" t="s">
        <v>99</v>
      </c>
      <c r="D14" s="2">
        <v>0.75</v>
      </c>
      <c r="E14" t="s">
        <v>23</v>
      </c>
      <c r="F14" t="s">
        <v>42</v>
      </c>
      <c r="G14" t="s">
        <v>59</v>
      </c>
      <c r="H14" t="s">
        <v>38</v>
      </c>
      <c r="I14">
        <f>VLOOKUP(E14,Data_Geografica!$A$2:$C$19,3,FALSE)</f>
        <v>3399</v>
      </c>
      <c r="J14">
        <f>VLOOKUP(F14,Data_Geografica!$A$2:$C$19,3,FALSE)</f>
        <v>150</v>
      </c>
      <c r="K14">
        <f t="shared" si="0"/>
        <v>3249</v>
      </c>
      <c r="L14">
        <v>7</v>
      </c>
      <c r="M14">
        <v>7</v>
      </c>
    </row>
    <row r="15" spans="1:13">
      <c r="A15" t="s">
        <v>208</v>
      </c>
      <c r="B15" s="3">
        <v>46312</v>
      </c>
      <c r="C15" t="s">
        <v>99</v>
      </c>
      <c r="D15" s="2">
        <v>0.85416666666666663</v>
      </c>
      <c r="E15" t="s">
        <v>43</v>
      </c>
      <c r="F15" t="s">
        <v>32</v>
      </c>
      <c r="G15" t="s">
        <v>209</v>
      </c>
      <c r="H15" t="s">
        <v>13</v>
      </c>
      <c r="I15">
        <f>VLOOKUP(E15,Data_Geografica!$A$2:$C$19,3,FALSE)</f>
        <v>150</v>
      </c>
      <c r="J15">
        <f>VLOOKUP(F15,Data_Geografica!$A$2:$C$19,3,FALSE)</f>
        <v>150</v>
      </c>
      <c r="K15">
        <f t="shared" si="0"/>
        <v>0</v>
      </c>
      <c r="L15">
        <v>7</v>
      </c>
      <c r="M15">
        <v>7</v>
      </c>
    </row>
    <row r="16" spans="1:13">
      <c r="A16" t="s">
        <v>208</v>
      </c>
      <c r="B16" s="3">
        <v>46313</v>
      </c>
      <c r="C16" t="s">
        <v>100</v>
      </c>
      <c r="D16" s="2">
        <v>0.45833333333333331</v>
      </c>
      <c r="E16" t="s">
        <v>19</v>
      </c>
      <c r="F16" t="s">
        <v>17</v>
      </c>
      <c r="G16" t="s">
        <v>64</v>
      </c>
      <c r="H16" t="s">
        <v>13</v>
      </c>
      <c r="I16">
        <f>VLOOKUP(E16,Data_Geografica!$A$2:$C$19,3,FALSE)</f>
        <v>2620</v>
      </c>
      <c r="J16">
        <f>VLOOKUP(F16,Data_Geografica!$A$2:$C$19,3,FALSE)</f>
        <v>3399</v>
      </c>
      <c r="K16">
        <f t="shared" si="0"/>
        <v>0</v>
      </c>
      <c r="L16">
        <v>7</v>
      </c>
      <c r="M16">
        <v>7</v>
      </c>
    </row>
    <row r="17" spans="1:13">
      <c r="A17" t="s">
        <v>208</v>
      </c>
      <c r="B17" s="3">
        <v>46313</v>
      </c>
      <c r="C17" t="s">
        <v>100</v>
      </c>
      <c r="D17" s="2">
        <v>0.54166666666666663</v>
      </c>
      <c r="E17" t="s">
        <v>27</v>
      </c>
      <c r="F17" t="s">
        <v>12</v>
      </c>
      <c r="G17" t="s">
        <v>65</v>
      </c>
      <c r="H17" t="s">
        <v>31</v>
      </c>
      <c r="I17">
        <f>VLOOKUP(E17,Data_Geografica!$A$2:$C$19,3,FALSE)</f>
        <v>1410</v>
      </c>
      <c r="J17">
        <f>VLOOKUP(F17,Data_Geografica!$A$2:$C$19,3,FALSE)</f>
        <v>150</v>
      </c>
      <c r="K17">
        <f t="shared" si="0"/>
        <v>1260</v>
      </c>
      <c r="L17">
        <v>7</v>
      </c>
      <c r="M17">
        <v>7</v>
      </c>
    </row>
    <row r="18" spans="1:13">
      <c r="A18" t="s">
        <v>208</v>
      </c>
      <c r="B18" s="3">
        <v>46313</v>
      </c>
      <c r="C18" t="s">
        <v>100</v>
      </c>
      <c r="D18" s="2">
        <v>0.64583333333333337</v>
      </c>
      <c r="E18" t="s">
        <v>39</v>
      </c>
      <c r="F18" t="s">
        <v>30</v>
      </c>
      <c r="G18" t="s">
        <v>101</v>
      </c>
      <c r="H18" t="s">
        <v>10</v>
      </c>
      <c r="I18">
        <f>VLOOKUP(E18,Data_Geografica!$A$2:$C$19,3,FALSE)</f>
        <v>10</v>
      </c>
      <c r="J18">
        <f>VLOOKUP(F18,Data_Geografica!$A$2:$C$19,3,FALSE)</f>
        <v>2750</v>
      </c>
      <c r="K18">
        <f t="shared" si="0"/>
        <v>0</v>
      </c>
      <c r="L18">
        <v>7</v>
      </c>
      <c r="M18">
        <v>7</v>
      </c>
    </row>
    <row r="19" spans="1:13">
      <c r="A19" t="s">
        <v>208</v>
      </c>
      <c r="B19" s="3">
        <v>46313</v>
      </c>
      <c r="C19" t="s">
        <v>100</v>
      </c>
      <c r="D19" s="2">
        <v>0.77083333333333337</v>
      </c>
      <c r="E19" t="s">
        <v>26</v>
      </c>
      <c r="F19" t="s">
        <v>35</v>
      </c>
      <c r="G19" t="s">
        <v>59</v>
      </c>
      <c r="H19" t="s">
        <v>18</v>
      </c>
      <c r="I19">
        <f>VLOOKUP(E19,Data_Geografica!$A$2:$C$19,3,FALSE)</f>
        <v>3399</v>
      </c>
      <c r="J19">
        <f>VLOOKUP(F19,Data_Geografica!$A$2:$C$19,3,FALSE)</f>
        <v>2920</v>
      </c>
      <c r="K19">
        <f t="shared" si="0"/>
        <v>479</v>
      </c>
      <c r="L19">
        <v>7</v>
      </c>
      <c r="M19">
        <v>7</v>
      </c>
    </row>
    <row r="24" spans="1:13">
      <c r="B24" s="3"/>
      <c r="D24" s="2"/>
    </row>
    <row r="25" spans="1:13">
      <c r="B25" s="3"/>
      <c r="D25" s="2"/>
    </row>
    <row r="26" spans="1:13">
      <c r="B26" s="3"/>
      <c r="D26" s="2"/>
    </row>
    <row r="27" spans="1:13">
      <c r="B27" s="3"/>
      <c r="D27" s="2"/>
    </row>
    <row r="28" spans="1:13">
      <c r="B28" s="3"/>
      <c r="D28" s="2"/>
    </row>
    <row r="29" spans="1:13">
      <c r="B29" s="3"/>
      <c r="D29" s="2"/>
    </row>
    <row r="30" spans="1:13">
      <c r="B30" s="3"/>
      <c r="D30" s="2"/>
    </row>
    <row r="31" spans="1:13">
      <c r="B31" s="3"/>
      <c r="D31" s="2"/>
    </row>
    <row r="32" spans="1:13">
      <c r="B32" s="3"/>
      <c r="D32" s="2"/>
    </row>
    <row r="33" spans="2:4">
      <c r="B33" s="3"/>
      <c r="D33" s="2"/>
    </row>
    <row r="34" spans="2:4">
      <c r="B34" s="3"/>
      <c r="D34" s="2"/>
    </row>
    <row r="35" spans="2:4">
      <c r="B35" s="3"/>
      <c r="D35" s="2"/>
    </row>
    <row r="36" spans="2:4">
      <c r="B36" s="3"/>
      <c r="D36" s="2"/>
    </row>
    <row r="37" spans="2:4">
      <c r="B37" s="3"/>
      <c r="D37" s="2"/>
    </row>
    <row r="38" spans="2:4">
      <c r="B38" s="3"/>
      <c r="D38" s="2"/>
    </row>
    <row r="39" spans="2:4">
      <c r="B39" s="3"/>
      <c r="D39" s="2"/>
    </row>
    <row r="40" spans="2:4">
      <c r="B40" s="3"/>
      <c r="D40" s="2"/>
    </row>
    <row r="41" spans="2:4">
      <c r="B41" s="3"/>
      <c r="D41" s="2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2CD5-28AF-4CFF-80C1-7C7E520E595B}">
  <dimension ref="A1:J154"/>
  <sheetViews>
    <sheetView workbookViewId="0">
      <pane ySplit="1" topLeftCell="A54" activePane="bottomLeft" state="frozen"/>
      <selection pane="bottomLeft" activeCell="J64" sqref="J64"/>
    </sheetView>
  </sheetViews>
  <sheetFormatPr baseColWidth="10" defaultRowHeight="15"/>
  <cols>
    <col min="1" max="1" width="9.28515625" bestFit="1" customWidth="1"/>
    <col min="2" max="2" width="19.85546875" bestFit="1" customWidth="1"/>
    <col min="3" max="3" width="11.5703125" bestFit="1" customWidth="1"/>
    <col min="4" max="4" width="12.140625" bestFit="1" customWidth="1"/>
    <col min="5" max="5" width="19.85546875" bestFit="1" customWidth="1"/>
    <col min="6" max="6" width="12.28515625" bestFit="1" customWidth="1"/>
    <col min="7" max="7" width="12.5703125" bestFit="1" customWidth="1"/>
    <col min="8" max="8" width="13.140625" bestFit="1" customWidth="1"/>
    <col min="9" max="9" width="8.85546875" bestFit="1" customWidth="1"/>
    <col min="10" max="10" width="9.42578125" bestFit="1" customWidth="1"/>
  </cols>
  <sheetData>
    <row r="1" spans="1:10" s="1" customFormat="1">
      <c r="A1" s="1" t="s">
        <v>45</v>
      </c>
      <c r="B1" s="1" t="s">
        <v>47</v>
      </c>
      <c r="C1" s="1" t="s">
        <v>67</v>
      </c>
      <c r="D1" s="1" t="s">
        <v>68</v>
      </c>
      <c r="E1" s="1" t="s">
        <v>48</v>
      </c>
      <c r="F1" s="1" t="s">
        <v>1</v>
      </c>
      <c r="G1" s="1" t="s">
        <v>50</v>
      </c>
      <c r="H1" s="1" t="s">
        <v>51</v>
      </c>
      <c r="I1" s="1" t="s">
        <v>69</v>
      </c>
      <c r="J1" s="1" t="s">
        <v>70</v>
      </c>
    </row>
    <row r="2" spans="1:10">
      <c r="A2" t="s">
        <v>103</v>
      </c>
      <c r="B2" t="s">
        <v>24</v>
      </c>
      <c r="C2">
        <v>1</v>
      </c>
      <c r="D2">
        <v>2</v>
      </c>
      <c r="E2" t="s">
        <v>12</v>
      </c>
      <c r="F2" t="s">
        <v>25</v>
      </c>
      <c r="G2">
        <v>3259</v>
      </c>
      <c r="H2">
        <v>150</v>
      </c>
      <c r="I2" t="s">
        <v>104</v>
      </c>
      <c r="J2" t="s">
        <v>105</v>
      </c>
    </row>
    <row r="3" spans="1:10">
      <c r="A3" t="s">
        <v>103</v>
      </c>
      <c r="B3" t="s">
        <v>44</v>
      </c>
      <c r="C3">
        <v>2</v>
      </c>
      <c r="D3">
        <v>0</v>
      </c>
      <c r="E3" t="s">
        <v>15</v>
      </c>
      <c r="F3" t="s">
        <v>31</v>
      </c>
      <c r="G3">
        <v>2750</v>
      </c>
      <c r="H3">
        <v>29</v>
      </c>
      <c r="I3" t="s">
        <v>106</v>
      </c>
      <c r="J3" t="s">
        <v>107</v>
      </c>
    </row>
    <row r="4" spans="1:10">
      <c r="A4" t="s">
        <v>103</v>
      </c>
      <c r="B4" t="s">
        <v>39</v>
      </c>
      <c r="C4">
        <v>1</v>
      </c>
      <c r="D4">
        <v>1</v>
      </c>
      <c r="E4" t="s">
        <v>35</v>
      </c>
      <c r="F4" t="s">
        <v>40</v>
      </c>
      <c r="G4">
        <v>5</v>
      </c>
      <c r="H4">
        <v>2926</v>
      </c>
      <c r="I4" t="s">
        <v>108</v>
      </c>
      <c r="J4" t="s">
        <v>109</v>
      </c>
    </row>
    <row r="5" spans="1:10">
      <c r="A5" t="s">
        <v>103</v>
      </c>
      <c r="B5" t="s">
        <v>32</v>
      </c>
      <c r="C5">
        <v>3</v>
      </c>
      <c r="D5">
        <v>3</v>
      </c>
      <c r="E5" t="s">
        <v>30</v>
      </c>
      <c r="F5" t="s">
        <v>33</v>
      </c>
      <c r="G5">
        <v>209</v>
      </c>
      <c r="H5">
        <v>2750</v>
      </c>
      <c r="I5" t="s">
        <v>110</v>
      </c>
      <c r="J5" t="s">
        <v>111</v>
      </c>
    </row>
    <row r="6" spans="1:10">
      <c r="A6" t="s">
        <v>103</v>
      </c>
      <c r="B6" t="s">
        <v>37</v>
      </c>
      <c r="C6">
        <v>2</v>
      </c>
      <c r="D6">
        <v>0</v>
      </c>
      <c r="E6" t="s">
        <v>17</v>
      </c>
      <c r="F6" t="s">
        <v>38</v>
      </c>
      <c r="G6">
        <v>2335</v>
      </c>
      <c r="H6">
        <v>3399</v>
      </c>
      <c r="I6" t="s">
        <v>112</v>
      </c>
      <c r="J6" t="s">
        <v>107</v>
      </c>
    </row>
    <row r="7" spans="1:10">
      <c r="A7" t="s">
        <v>103</v>
      </c>
      <c r="B7" t="s">
        <v>26</v>
      </c>
      <c r="C7">
        <v>1</v>
      </c>
      <c r="D7">
        <v>1</v>
      </c>
      <c r="E7" t="s">
        <v>42</v>
      </c>
      <c r="F7" t="s">
        <v>18</v>
      </c>
      <c r="G7">
        <v>3399</v>
      </c>
      <c r="H7">
        <v>150</v>
      </c>
      <c r="I7" t="s">
        <v>113</v>
      </c>
      <c r="J7" t="s">
        <v>109</v>
      </c>
    </row>
    <row r="8" spans="1:10">
      <c r="A8" t="s">
        <v>103</v>
      </c>
      <c r="B8" t="s">
        <v>9</v>
      </c>
      <c r="C8">
        <v>1</v>
      </c>
      <c r="D8">
        <v>0</v>
      </c>
      <c r="E8" t="s">
        <v>23</v>
      </c>
      <c r="F8" t="s">
        <v>10</v>
      </c>
      <c r="G8">
        <v>60</v>
      </c>
      <c r="H8">
        <v>3399</v>
      </c>
      <c r="I8" t="s">
        <v>114</v>
      </c>
      <c r="J8" t="s">
        <v>107</v>
      </c>
    </row>
    <row r="9" spans="1:10">
      <c r="A9" t="s">
        <v>103</v>
      </c>
      <c r="B9" t="s">
        <v>43</v>
      </c>
      <c r="C9">
        <v>2</v>
      </c>
      <c r="D9">
        <v>0</v>
      </c>
      <c r="E9" t="s">
        <v>5</v>
      </c>
      <c r="F9" t="s">
        <v>13</v>
      </c>
      <c r="G9">
        <v>150</v>
      </c>
      <c r="H9">
        <v>3050</v>
      </c>
      <c r="I9" t="s">
        <v>115</v>
      </c>
      <c r="J9" t="s">
        <v>107</v>
      </c>
    </row>
    <row r="10" spans="1:10">
      <c r="A10" t="s">
        <v>103</v>
      </c>
      <c r="B10" t="s">
        <v>19</v>
      </c>
      <c r="C10">
        <v>1</v>
      </c>
      <c r="D10">
        <v>0</v>
      </c>
      <c r="E10" t="s">
        <v>27</v>
      </c>
      <c r="F10" t="s">
        <v>20</v>
      </c>
      <c r="G10">
        <v>2637</v>
      </c>
      <c r="H10">
        <v>1410</v>
      </c>
      <c r="I10" t="s">
        <v>116</v>
      </c>
      <c r="J10" t="s">
        <v>107</v>
      </c>
    </row>
    <row r="11" spans="1:10">
      <c r="A11" t="s">
        <v>117</v>
      </c>
      <c r="B11" t="s">
        <v>27</v>
      </c>
      <c r="C11">
        <v>2</v>
      </c>
      <c r="D11">
        <v>3</v>
      </c>
      <c r="E11" t="s">
        <v>44</v>
      </c>
      <c r="F11" t="s">
        <v>28</v>
      </c>
      <c r="G11">
        <v>1410</v>
      </c>
      <c r="H11">
        <v>2750</v>
      </c>
      <c r="I11" t="s">
        <v>118</v>
      </c>
      <c r="J11" t="s">
        <v>111</v>
      </c>
    </row>
    <row r="12" spans="1:10">
      <c r="A12" t="s">
        <v>117</v>
      </c>
      <c r="B12" t="s">
        <v>5</v>
      </c>
      <c r="C12">
        <v>1</v>
      </c>
      <c r="D12">
        <v>0</v>
      </c>
      <c r="E12" t="s">
        <v>39</v>
      </c>
      <c r="F12" t="s">
        <v>6</v>
      </c>
      <c r="G12">
        <v>3050</v>
      </c>
      <c r="H12">
        <v>5</v>
      </c>
      <c r="I12" t="s">
        <v>119</v>
      </c>
      <c r="J12" t="s">
        <v>107</v>
      </c>
    </row>
    <row r="13" spans="1:10">
      <c r="A13" t="s">
        <v>117</v>
      </c>
      <c r="B13" t="s">
        <v>15</v>
      </c>
      <c r="C13">
        <v>0</v>
      </c>
      <c r="D13">
        <v>0</v>
      </c>
      <c r="E13" t="s">
        <v>24</v>
      </c>
      <c r="F13" t="s">
        <v>16</v>
      </c>
      <c r="G13">
        <v>29</v>
      </c>
      <c r="H13">
        <v>3259</v>
      </c>
      <c r="I13" t="s">
        <v>120</v>
      </c>
      <c r="J13" t="s">
        <v>107</v>
      </c>
    </row>
    <row r="14" spans="1:10">
      <c r="A14" t="s">
        <v>117</v>
      </c>
      <c r="B14" t="s">
        <v>23</v>
      </c>
      <c r="C14">
        <v>1</v>
      </c>
      <c r="D14">
        <v>1</v>
      </c>
      <c r="E14" t="s">
        <v>43</v>
      </c>
      <c r="F14" t="s">
        <v>18</v>
      </c>
      <c r="G14">
        <v>3399</v>
      </c>
      <c r="H14">
        <v>150</v>
      </c>
      <c r="I14" t="s">
        <v>113</v>
      </c>
      <c r="J14" t="s">
        <v>109</v>
      </c>
    </row>
    <row r="15" spans="1:10">
      <c r="A15" t="s">
        <v>117</v>
      </c>
      <c r="B15" t="s">
        <v>42</v>
      </c>
      <c r="C15">
        <v>1</v>
      </c>
      <c r="D15">
        <v>2</v>
      </c>
      <c r="E15" t="s">
        <v>37</v>
      </c>
      <c r="F15" t="s">
        <v>13</v>
      </c>
      <c r="G15">
        <v>150</v>
      </c>
      <c r="H15">
        <v>2335</v>
      </c>
      <c r="I15" t="s">
        <v>121</v>
      </c>
      <c r="J15" t="s">
        <v>105</v>
      </c>
    </row>
    <row r="16" spans="1:10">
      <c r="A16" t="s">
        <v>117</v>
      </c>
      <c r="B16" t="s">
        <v>35</v>
      </c>
      <c r="C16">
        <v>1</v>
      </c>
      <c r="D16">
        <v>0</v>
      </c>
      <c r="E16" t="s">
        <v>9</v>
      </c>
      <c r="F16" t="s">
        <v>36</v>
      </c>
      <c r="G16">
        <v>2926</v>
      </c>
      <c r="H16">
        <v>60</v>
      </c>
      <c r="I16" t="s">
        <v>122</v>
      </c>
      <c r="J16" t="s">
        <v>107</v>
      </c>
    </row>
    <row r="17" spans="1:10">
      <c r="A17" t="s">
        <v>117</v>
      </c>
      <c r="B17" t="s">
        <v>17</v>
      </c>
      <c r="C17">
        <v>6</v>
      </c>
      <c r="D17">
        <v>1</v>
      </c>
      <c r="E17" t="s">
        <v>32</v>
      </c>
      <c r="F17" t="s">
        <v>18</v>
      </c>
      <c r="G17">
        <v>3399</v>
      </c>
      <c r="H17">
        <v>209</v>
      </c>
      <c r="I17" t="s">
        <v>123</v>
      </c>
      <c r="J17" t="s">
        <v>109</v>
      </c>
    </row>
    <row r="18" spans="1:10">
      <c r="A18" t="s">
        <v>117</v>
      </c>
      <c r="B18" t="s">
        <v>12</v>
      </c>
      <c r="C18">
        <v>2</v>
      </c>
      <c r="D18">
        <v>1</v>
      </c>
      <c r="E18" t="s">
        <v>19</v>
      </c>
      <c r="F18" t="s">
        <v>13</v>
      </c>
      <c r="G18">
        <v>150</v>
      </c>
      <c r="H18">
        <v>2637</v>
      </c>
      <c r="I18" t="s">
        <v>115</v>
      </c>
      <c r="J18" t="s">
        <v>109</v>
      </c>
    </row>
    <row r="19" spans="1:10">
      <c r="A19" t="s">
        <v>117</v>
      </c>
      <c r="B19" t="s">
        <v>30</v>
      </c>
      <c r="C19">
        <v>1</v>
      </c>
      <c r="D19">
        <v>1</v>
      </c>
      <c r="E19" t="s">
        <v>26</v>
      </c>
      <c r="F19" t="s">
        <v>31</v>
      </c>
      <c r="G19">
        <v>2750</v>
      </c>
      <c r="H19">
        <v>3399</v>
      </c>
      <c r="I19" t="s">
        <v>124</v>
      </c>
      <c r="J19" t="s">
        <v>109</v>
      </c>
    </row>
    <row r="20" spans="1:10">
      <c r="A20" t="s">
        <v>125</v>
      </c>
      <c r="B20" t="s">
        <v>44</v>
      </c>
      <c r="C20">
        <v>1</v>
      </c>
      <c r="D20">
        <v>0</v>
      </c>
      <c r="E20" t="s">
        <v>23</v>
      </c>
      <c r="F20" t="s">
        <v>31</v>
      </c>
      <c r="G20">
        <v>2750</v>
      </c>
      <c r="H20">
        <v>3399</v>
      </c>
      <c r="I20" t="s">
        <v>124</v>
      </c>
      <c r="J20" t="s">
        <v>107</v>
      </c>
    </row>
    <row r="21" spans="1:10">
      <c r="A21" t="s">
        <v>125</v>
      </c>
      <c r="B21" t="s">
        <v>43</v>
      </c>
      <c r="C21">
        <v>2</v>
      </c>
      <c r="D21">
        <v>1</v>
      </c>
      <c r="E21" t="s">
        <v>17</v>
      </c>
      <c r="F21" t="s">
        <v>13</v>
      </c>
      <c r="G21">
        <v>150</v>
      </c>
      <c r="H21">
        <v>3399</v>
      </c>
      <c r="I21" t="s">
        <v>115</v>
      </c>
      <c r="J21" t="s">
        <v>109</v>
      </c>
    </row>
    <row r="22" spans="1:10">
      <c r="A22" t="s">
        <v>125</v>
      </c>
      <c r="B22" t="s">
        <v>26</v>
      </c>
      <c r="C22">
        <v>1</v>
      </c>
      <c r="D22">
        <v>0</v>
      </c>
      <c r="E22" t="s">
        <v>5</v>
      </c>
      <c r="F22" t="s">
        <v>18</v>
      </c>
      <c r="G22">
        <v>3399</v>
      </c>
      <c r="H22">
        <v>3050</v>
      </c>
      <c r="I22" t="s">
        <v>113</v>
      </c>
      <c r="J22" t="s">
        <v>107</v>
      </c>
    </row>
    <row r="23" spans="1:10">
      <c r="A23" t="s">
        <v>125</v>
      </c>
      <c r="B23" t="s">
        <v>32</v>
      </c>
      <c r="C23">
        <v>0</v>
      </c>
      <c r="D23">
        <v>2</v>
      </c>
      <c r="E23" t="s">
        <v>42</v>
      </c>
      <c r="F23" t="s">
        <v>33</v>
      </c>
      <c r="G23">
        <v>209</v>
      </c>
      <c r="H23">
        <v>150</v>
      </c>
      <c r="I23" t="s">
        <v>126</v>
      </c>
      <c r="J23" t="s">
        <v>105</v>
      </c>
    </row>
    <row r="24" spans="1:10">
      <c r="A24" t="s">
        <v>125</v>
      </c>
      <c r="B24" t="s">
        <v>39</v>
      </c>
      <c r="C24">
        <v>1</v>
      </c>
      <c r="D24">
        <v>0</v>
      </c>
      <c r="E24" t="s">
        <v>15</v>
      </c>
      <c r="F24" t="s">
        <v>40</v>
      </c>
      <c r="G24">
        <v>5</v>
      </c>
      <c r="H24">
        <v>29</v>
      </c>
      <c r="I24" t="s">
        <v>108</v>
      </c>
      <c r="J24" t="s">
        <v>107</v>
      </c>
    </row>
    <row r="25" spans="1:10">
      <c r="A25" t="s">
        <v>125</v>
      </c>
      <c r="B25" t="s">
        <v>9</v>
      </c>
      <c r="C25">
        <v>0</v>
      </c>
      <c r="D25">
        <v>0</v>
      </c>
      <c r="E25" t="s">
        <v>12</v>
      </c>
      <c r="F25" t="s">
        <v>10</v>
      </c>
      <c r="G25">
        <v>60</v>
      </c>
      <c r="H25">
        <v>150</v>
      </c>
      <c r="I25" t="s">
        <v>127</v>
      </c>
      <c r="J25" t="s">
        <v>107</v>
      </c>
    </row>
    <row r="26" spans="1:10">
      <c r="A26" t="s">
        <v>125</v>
      </c>
      <c r="B26" t="s">
        <v>24</v>
      </c>
      <c r="C26">
        <v>2</v>
      </c>
      <c r="D26">
        <v>0</v>
      </c>
      <c r="E26" t="s">
        <v>30</v>
      </c>
      <c r="F26" t="s">
        <v>25</v>
      </c>
      <c r="G26">
        <v>3259</v>
      </c>
      <c r="H26">
        <v>2750</v>
      </c>
      <c r="I26" t="s">
        <v>128</v>
      </c>
      <c r="J26" t="s">
        <v>107</v>
      </c>
    </row>
    <row r="27" spans="1:10">
      <c r="A27" t="s">
        <v>125</v>
      </c>
      <c r="B27" t="s">
        <v>19</v>
      </c>
      <c r="C27">
        <v>1</v>
      </c>
      <c r="D27">
        <v>1</v>
      </c>
      <c r="E27" t="s">
        <v>35</v>
      </c>
      <c r="F27" t="s">
        <v>20</v>
      </c>
      <c r="G27">
        <v>2637</v>
      </c>
      <c r="H27">
        <v>2926</v>
      </c>
      <c r="I27" t="s">
        <v>116</v>
      </c>
      <c r="J27" t="s">
        <v>109</v>
      </c>
    </row>
    <row r="28" spans="1:10">
      <c r="A28" t="s">
        <v>125</v>
      </c>
      <c r="B28" t="s">
        <v>37</v>
      </c>
      <c r="C28">
        <v>4</v>
      </c>
      <c r="D28">
        <v>0</v>
      </c>
      <c r="E28" t="s">
        <v>27</v>
      </c>
      <c r="F28" t="s">
        <v>38</v>
      </c>
      <c r="G28">
        <v>2335</v>
      </c>
      <c r="H28">
        <v>1410</v>
      </c>
      <c r="I28" t="s">
        <v>129</v>
      </c>
      <c r="J28" t="s">
        <v>107</v>
      </c>
    </row>
    <row r="29" spans="1:10">
      <c r="A29" t="s">
        <v>130</v>
      </c>
      <c r="B29" t="s">
        <v>12</v>
      </c>
      <c r="C29">
        <v>1</v>
      </c>
      <c r="D29">
        <v>0</v>
      </c>
      <c r="E29" t="s">
        <v>39</v>
      </c>
      <c r="F29" t="s">
        <v>13</v>
      </c>
      <c r="G29">
        <v>150</v>
      </c>
      <c r="H29">
        <v>5</v>
      </c>
      <c r="I29" t="s">
        <v>121</v>
      </c>
      <c r="J29" t="s">
        <v>107</v>
      </c>
    </row>
    <row r="30" spans="1:10">
      <c r="A30" t="s">
        <v>130</v>
      </c>
      <c r="B30" t="s">
        <v>30</v>
      </c>
      <c r="C30">
        <v>3</v>
      </c>
      <c r="D30">
        <v>1</v>
      </c>
      <c r="E30" t="s">
        <v>37</v>
      </c>
      <c r="F30" t="s">
        <v>31</v>
      </c>
      <c r="G30">
        <v>2750</v>
      </c>
      <c r="H30">
        <v>2335</v>
      </c>
      <c r="I30" t="s">
        <v>131</v>
      </c>
      <c r="J30" t="s">
        <v>109</v>
      </c>
    </row>
    <row r="31" spans="1:10">
      <c r="A31" t="s">
        <v>130</v>
      </c>
      <c r="B31" t="s">
        <v>42</v>
      </c>
      <c r="C31">
        <v>2</v>
      </c>
      <c r="D31">
        <v>2</v>
      </c>
      <c r="E31" t="s">
        <v>43</v>
      </c>
      <c r="F31" t="s">
        <v>13</v>
      </c>
      <c r="G31">
        <v>150</v>
      </c>
      <c r="H31">
        <v>150</v>
      </c>
      <c r="I31" t="s">
        <v>115</v>
      </c>
      <c r="J31" t="s">
        <v>105</v>
      </c>
    </row>
    <row r="32" spans="1:10">
      <c r="A32" t="s">
        <v>130</v>
      </c>
      <c r="B32" t="s">
        <v>17</v>
      </c>
      <c r="C32">
        <v>1</v>
      </c>
      <c r="D32">
        <v>1</v>
      </c>
      <c r="E32" t="s">
        <v>9</v>
      </c>
      <c r="F32" t="s">
        <v>18</v>
      </c>
      <c r="G32">
        <v>3399</v>
      </c>
      <c r="H32">
        <v>60</v>
      </c>
      <c r="I32" t="s">
        <v>113</v>
      </c>
      <c r="J32" t="s">
        <v>109</v>
      </c>
    </row>
    <row r="33" spans="1:10">
      <c r="A33" t="s">
        <v>130</v>
      </c>
      <c r="B33" t="s">
        <v>5</v>
      </c>
      <c r="C33">
        <v>2</v>
      </c>
      <c r="D33">
        <v>2</v>
      </c>
      <c r="E33" t="s">
        <v>44</v>
      </c>
      <c r="F33" t="s">
        <v>6</v>
      </c>
      <c r="G33">
        <v>3050</v>
      </c>
      <c r="H33">
        <v>2750</v>
      </c>
      <c r="I33" t="s">
        <v>132</v>
      </c>
      <c r="J33" t="s">
        <v>105</v>
      </c>
    </row>
    <row r="34" spans="1:10">
      <c r="A34" t="s">
        <v>130</v>
      </c>
      <c r="B34" t="s">
        <v>35</v>
      </c>
      <c r="C34">
        <v>3</v>
      </c>
      <c r="D34">
        <v>2</v>
      </c>
      <c r="E34" t="s">
        <v>24</v>
      </c>
      <c r="F34" t="s">
        <v>36</v>
      </c>
      <c r="G34">
        <v>2926</v>
      </c>
      <c r="H34">
        <v>3259</v>
      </c>
      <c r="I34" t="s">
        <v>133</v>
      </c>
      <c r="J34" t="s">
        <v>105</v>
      </c>
    </row>
    <row r="35" spans="1:10">
      <c r="A35" t="s">
        <v>130</v>
      </c>
      <c r="B35" t="s">
        <v>15</v>
      </c>
      <c r="C35">
        <v>1</v>
      </c>
      <c r="D35">
        <v>2</v>
      </c>
      <c r="E35" t="s">
        <v>32</v>
      </c>
      <c r="F35" t="s">
        <v>16</v>
      </c>
      <c r="G35">
        <v>29</v>
      </c>
      <c r="H35">
        <v>209</v>
      </c>
      <c r="I35" t="s">
        <v>108</v>
      </c>
      <c r="J35" t="s">
        <v>105</v>
      </c>
    </row>
    <row r="36" spans="1:10">
      <c r="A36" t="s">
        <v>130</v>
      </c>
      <c r="B36" t="s">
        <v>23</v>
      </c>
      <c r="C36">
        <v>3</v>
      </c>
      <c r="D36">
        <v>1</v>
      </c>
      <c r="E36" t="s">
        <v>19</v>
      </c>
      <c r="F36" t="s">
        <v>18</v>
      </c>
      <c r="G36">
        <v>3399</v>
      </c>
      <c r="H36">
        <v>2637</v>
      </c>
      <c r="I36" t="s">
        <v>134</v>
      </c>
      <c r="J36" t="s">
        <v>109</v>
      </c>
    </row>
    <row r="37" spans="1:10">
      <c r="A37" t="s">
        <v>130</v>
      </c>
      <c r="B37" t="s">
        <v>27</v>
      </c>
      <c r="C37">
        <v>1</v>
      </c>
      <c r="D37">
        <v>0</v>
      </c>
      <c r="E37" t="s">
        <v>26</v>
      </c>
      <c r="F37" t="s">
        <v>28</v>
      </c>
      <c r="G37">
        <v>1410</v>
      </c>
      <c r="H37">
        <v>3399</v>
      </c>
      <c r="I37" t="s">
        <v>135</v>
      </c>
      <c r="J37" t="s">
        <v>107</v>
      </c>
    </row>
    <row r="38" spans="1:10">
      <c r="A38" t="s">
        <v>136</v>
      </c>
      <c r="B38" t="s">
        <v>9</v>
      </c>
      <c r="C38">
        <v>0</v>
      </c>
      <c r="D38">
        <v>0</v>
      </c>
      <c r="E38" t="s">
        <v>5</v>
      </c>
      <c r="F38" t="s">
        <v>10</v>
      </c>
      <c r="G38">
        <v>60</v>
      </c>
      <c r="H38">
        <v>3050</v>
      </c>
      <c r="I38" t="s">
        <v>127</v>
      </c>
      <c r="J38" t="s">
        <v>107</v>
      </c>
    </row>
    <row r="39" spans="1:10">
      <c r="A39" t="s">
        <v>136</v>
      </c>
      <c r="B39" t="s">
        <v>37</v>
      </c>
      <c r="C39">
        <v>1</v>
      </c>
      <c r="D39">
        <v>2</v>
      </c>
      <c r="E39" t="s">
        <v>35</v>
      </c>
      <c r="F39" t="s">
        <v>38</v>
      </c>
      <c r="G39">
        <v>2335</v>
      </c>
      <c r="H39">
        <v>2926</v>
      </c>
      <c r="I39" t="s">
        <v>137</v>
      </c>
      <c r="J39" t="s">
        <v>105</v>
      </c>
    </row>
    <row r="40" spans="1:10">
      <c r="A40" t="s">
        <v>136</v>
      </c>
      <c r="B40" t="s">
        <v>26</v>
      </c>
      <c r="C40">
        <v>2</v>
      </c>
      <c r="D40">
        <v>3</v>
      </c>
      <c r="E40" t="s">
        <v>17</v>
      </c>
      <c r="F40" t="s">
        <v>18</v>
      </c>
      <c r="G40">
        <v>3399</v>
      </c>
      <c r="H40">
        <v>3399</v>
      </c>
      <c r="I40" t="s">
        <v>138</v>
      </c>
      <c r="J40" t="s">
        <v>111</v>
      </c>
    </row>
    <row r="41" spans="1:10">
      <c r="A41" t="s">
        <v>136</v>
      </c>
      <c r="B41" t="s">
        <v>24</v>
      </c>
      <c r="C41">
        <v>2</v>
      </c>
      <c r="D41">
        <v>1</v>
      </c>
      <c r="E41" t="s">
        <v>42</v>
      </c>
      <c r="F41" t="s">
        <v>25</v>
      </c>
      <c r="G41">
        <v>3259</v>
      </c>
      <c r="H41">
        <v>150</v>
      </c>
      <c r="I41" t="s">
        <v>128</v>
      </c>
      <c r="J41" t="s">
        <v>109</v>
      </c>
    </row>
    <row r="42" spans="1:10">
      <c r="A42" t="s">
        <v>136</v>
      </c>
      <c r="B42" t="s">
        <v>44</v>
      </c>
      <c r="C42">
        <v>0</v>
      </c>
      <c r="D42">
        <v>1</v>
      </c>
      <c r="E42" t="s">
        <v>12</v>
      </c>
      <c r="F42" t="s">
        <v>31</v>
      </c>
      <c r="G42">
        <v>2750</v>
      </c>
      <c r="H42">
        <v>150</v>
      </c>
      <c r="I42" t="s">
        <v>139</v>
      </c>
      <c r="J42" t="s">
        <v>109</v>
      </c>
    </row>
    <row r="43" spans="1:10">
      <c r="A43" t="s">
        <v>136</v>
      </c>
      <c r="B43" t="s">
        <v>39</v>
      </c>
      <c r="C43">
        <v>0</v>
      </c>
      <c r="D43">
        <v>0</v>
      </c>
      <c r="E43" t="s">
        <v>27</v>
      </c>
      <c r="F43" t="s">
        <v>40</v>
      </c>
      <c r="G43">
        <v>5</v>
      </c>
      <c r="H43">
        <v>1410</v>
      </c>
      <c r="I43" t="s">
        <v>120</v>
      </c>
      <c r="J43" t="s">
        <v>107</v>
      </c>
    </row>
    <row r="44" spans="1:10">
      <c r="A44" t="s">
        <v>136</v>
      </c>
      <c r="B44" t="s">
        <v>19</v>
      </c>
      <c r="C44">
        <v>3</v>
      </c>
      <c r="D44">
        <v>1</v>
      </c>
      <c r="E44" t="s">
        <v>15</v>
      </c>
      <c r="F44" t="s">
        <v>20</v>
      </c>
      <c r="G44">
        <v>2637</v>
      </c>
      <c r="H44">
        <v>29</v>
      </c>
      <c r="I44" t="s">
        <v>140</v>
      </c>
      <c r="J44" t="s">
        <v>109</v>
      </c>
    </row>
    <row r="45" spans="1:10">
      <c r="A45" t="s">
        <v>136</v>
      </c>
      <c r="B45" t="s">
        <v>32</v>
      </c>
      <c r="C45">
        <v>2</v>
      </c>
      <c r="D45">
        <v>1</v>
      </c>
      <c r="E45" t="s">
        <v>23</v>
      </c>
      <c r="F45" t="s">
        <v>33</v>
      </c>
      <c r="G45">
        <v>209</v>
      </c>
      <c r="H45">
        <v>3399</v>
      </c>
      <c r="I45" t="s">
        <v>141</v>
      </c>
      <c r="J45" t="s">
        <v>109</v>
      </c>
    </row>
    <row r="46" spans="1:10">
      <c r="A46" t="s">
        <v>136</v>
      </c>
      <c r="B46" t="s">
        <v>43</v>
      </c>
      <c r="C46">
        <v>1</v>
      </c>
      <c r="D46">
        <v>0</v>
      </c>
      <c r="E46" t="s">
        <v>30</v>
      </c>
      <c r="F46" t="s">
        <v>13</v>
      </c>
      <c r="G46">
        <v>150</v>
      </c>
      <c r="H46">
        <v>2750</v>
      </c>
      <c r="I46" t="s">
        <v>121</v>
      </c>
      <c r="J46" t="s">
        <v>107</v>
      </c>
    </row>
    <row r="47" spans="1:10">
      <c r="A47" t="s">
        <v>142</v>
      </c>
      <c r="B47" t="s">
        <v>15</v>
      </c>
      <c r="C47">
        <v>1</v>
      </c>
      <c r="D47">
        <v>0</v>
      </c>
      <c r="E47" t="s">
        <v>30</v>
      </c>
      <c r="F47" t="s">
        <v>16</v>
      </c>
      <c r="G47">
        <v>29</v>
      </c>
      <c r="H47">
        <v>2750</v>
      </c>
      <c r="I47" t="s">
        <v>108</v>
      </c>
      <c r="J47" t="s">
        <v>107</v>
      </c>
    </row>
    <row r="48" spans="1:10">
      <c r="A48" t="s">
        <v>142</v>
      </c>
      <c r="B48" t="s">
        <v>27</v>
      </c>
      <c r="C48">
        <v>2</v>
      </c>
      <c r="D48">
        <v>1</v>
      </c>
      <c r="E48" t="s">
        <v>24</v>
      </c>
      <c r="F48" t="s">
        <v>28</v>
      </c>
      <c r="G48">
        <v>1410</v>
      </c>
      <c r="H48">
        <v>3259</v>
      </c>
      <c r="I48" t="s">
        <v>118</v>
      </c>
      <c r="J48" t="s">
        <v>109</v>
      </c>
    </row>
    <row r="49" spans="1:10">
      <c r="A49" t="s">
        <v>142</v>
      </c>
      <c r="B49" t="s">
        <v>19</v>
      </c>
      <c r="C49">
        <v>1</v>
      </c>
      <c r="D49">
        <v>2</v>
      </c>
      <c r="E49" t="s">
        <v>44</v>
      </c>
      <c r="F49" t="s">
        <v>20</v>
      </c>
      <c r="G49">
        <v>2637</v>
      </c>
      <c r="H49">
        <v>2750</v>
      </c>
      <c r="I49" t="s">
        <v>116</v>
      </c>
      <c r="J49" t="s">
        <v>105</v>
      </c>
    </row>
    <row r="50" spans="1:10">
      <c r="A50" t="s">
        <v>142</v>
      </c>
      <c r="B50" t="s">
        <v>42</v>
      </c>
      <c r="C50">
        <v>3</v>
      </c>
      <c r="D50">
        <v>1</v>
      </c>
      <c r="E50" t="s">
        <v>9</v>
      </c>
      <c r="F50" t="s">
        <v>13</v>
      </c>
      <c r="G50">
        <v>150</v>
      </c>
      <c r="H50">
        <v>60</v>
      </c>
      <c r="I50" t="s">
        <v>143</v>
      </c>
      <c r="J50" t="s">
        <v>109</v>
      </c>
    </row>
    <row r="51" spans="1:10">
      <c r="A51" t="s">
        <v>142</v>
      </c>
      <c r="B51" t="s">
        <v>23</v>
      </c>
      <c r="C51">
        <v>1</v>
      </c>
      <c r="D51">
        <v>0</v>
      </c>
      <c r="E51" t="s">
        <v>26</v>
      </c>
      <c r="F51" t="s">
        <v>18</v>
      </c>
      <c r="G51">
        <v>3399</v>
      </c>
      <c r="H51">
        <v>3399</v>
      </c>
      <c r="I51" t="s">
        <v>113</v>
      </c>
      <c r="J51" t="s">
        <v>107</v>
      </c>
    </row>
    <row r="52" spans="1:10">
      <c r="A52" t="s">
        <v>142</v>
      </c>
      <c r="B52" t="s">
        <v>5</v>
      </c>
      <c r="C52">
        <v>2</v>
      </c>
      <c r="D52">
        <v>3</v>
      </c>
      <c r="E52" t="s">
        <v>32</v>
      </c>
      <c r="F52" t="s">
        <v>6</v>
      </c>
      <c r="G52">
        <v>3050</v>
      </c>
      <c r="H52">
        <v>209</v>
      </c>
      <c r="I52" t="s">
        <v>132</v>
      </c>
      <c r="J52" t="s">
        <v>111</v>
      </c>
    </row>
    <row r="53" spans="1:10">
      <c r="A53" t="s">
        <v>142</v>
      </c>
      <c r="B53" t="s">
        <v>35</v>
      </c>
      <c r="C53">
        <v>3</v>
      </c>
      <c r="D53">
        <v>1</v>
      </c>
      <c r="E53" t="s">
        <v>43</v>
      </c>
      <c r="F53" t="s">
        <v>36</v>
      </c>
      <c r="G53">
        <v>2926</v>
      </c>
      <c r="H53">
        <v>150</v>
      </c>
      <c r="I53" t="s">
        <v>133</v>
      </c>
      <c r="J53" t="s">
        <v>109</v>
      </c>
    </row>
    <row r="54" spans="1:10">
      <c r="A54" t="s">
        <v>142</v>
      </c>
      <c r="B54" t="s">
        <v>17</v>
      </c>
      <c r="C54">
        <v>3</v>
      </c>
      <c r="D54">
        <v>1</v>
      </c>
      <c r="E54" t="s">
        <v>39</v>
      </c>
      <c r="F54" t="s">
        <v>18</v>
      </c>
      <c r="G54">
        <v>3399</v>
      </c>
      <c r="H54">
        <v>5</v>
      </c>
      <c r="I54" t="s">
        <v>134</v>
      </c>
      <c r="J54" t="s">
        <v>109</v>
      </c>
    </row>
    <row r="55" spans="1:10">
      <c r="A55" t="s">
        <v>142</v>
      </c>
      <c r="B55" t="s">
        <v>12</v>
      </c>
      <c r="C55">
        <v>3</v>
      </c>
      <c r="D55">
        <v>1</v>
      </c>
      <c r="E55" t="s">
        <v>37</v>
      </c>
      <c r="F55" t="s">
        <v>13</v>
      </c>
      <c r="G55">
        <v>150</v>
      </c>
      <c r="H55">
        <v>2335</v>
      </c>
      <c r="I55" t="s">
        <v>143</v>
      </c>
      <c r="J55" t="s">
        <v>109</v>
      </c>
    </row>
    <row r="56" spans="1:10">
      <c r="A56" t="s">
        <v>144</v>
      </c>
      <c r="B56" t="s">
        <v>30</v>
      </c>
      <c r="C56">
        <v>3</v>
      </c>
      <c r="D56">
        <v>4</v>
      </c>
      <c r="E56" t="s">
        <v>19</v>
      </c>
      <c r="F56" t="s">
        <v>31</v>
      </c>
      <c r="G56">
        <v>2750</v>
      </c>
      <c r="H56">
        <v>2637</v>
      </c>
      <c r="I56" t="s">
        <v>131</v>
      </c>
      <c r="J56" t="s">
        <v>145</v>
      </c>
    </row>
    <row r="57" spans="1:10">
      <c r="A57" t="s">
        <v>144</v>
      </c>
      <c r="B57" t="s">
        <v>24</v>
      </c>
      <c r="C57">
        <v>0</v>
      </c>
      <c r="D57">
        <v>1</v>
      </c>
      <c r="E57" t="s">
        <v>5</v>
      </c>
      <c r="F57" t="s">
        <v>25</v>
      </c>
      <c r="G57">
        <v>3259</v>
      </c>
      <c r="H57">
        <v>3050</v>
      </c>
      <c r="I57" t="s">
        <v>146</v>
      </c>
      <c r="J57" t="s">
        <v>109</v>
      </c>
    </row>
    <row r="58" spans="1:10">
      <c r="A58" t="s">
        <v>144</v>
      </c>
      <c r="B58" t="s">
        <v>32</v>
      </c>
      <c r="C58">
        <v>2</v>
      </c>
      <c r="D58">
        <v>3</v>
      </c>
      <c r="E58" t="s">
        <v>35</v>
      </c>
      <c r="F58" t="s">
        <v>33</v>
      </c>
      <c r="G58">
        <v>209</v>
      </c>
      <c r="H58">
        <v>2926</v>
      </c>
      <c r="I58" t="s">
        <v>141</v>
      </c>
      <c r="J58" t="s">
        <v>111</v>
      </c>
    </row>
    <row r="59" spans="1:10">
      <c r="A59" t="s">
        <v>144</v>
      </c>
      <c r="B59" t="s">
        <v>26</v>
      </c>
      <c r="C59">
        <v>1</v>
      </c>
      <c r="D59">
        <v>1</v>
      </c>
      <c r="E59" t="s">
        <v>12</v>
      </c>
      <c r="F59" t="s">
        <v>18</v>
      </c>
      <c r="G59">
        <v>3399</v>
      </c>
      <c r="H59">
        <v>150</v>
      </c>
      <c r="I59" t="s">
        <v>113</v>
      </c>
      <c r="J59" t="s">
        <v>109</v>
      </c>
    </row>
    <row r="60" spans="1:10">
      <c r="A60" t="s">
        <v>144</v>
      </c>
      <c r="B60" t="s">
        <v>43</v>
      </c>
      <c r="C60">
        <v>2</v>
      </c>
      <c r="D60">
        <v>0</v>
      </c>
      <c r="E60" t="s">
        <v>44</v>
      </c>
      <c r="F60" t="s">
        <v>13</v>
      </c>
      <c r="G60">
        <v>150</v>
      </c>
      <c r="H60">
        <v>2750</v>
      </c>
      <c r="I60" t="s">
        <v>115</v>
      </c>
      <c r="J60" t="s">
        <v>107</v>
      </c>
    </row>
    <row r="61" spans="1:10">
      <c r="A61" t="s">
        <v>144</v>
      </c>
      <c r="B61" t="s">
        <v>42</v>
      </c>
      <c r="C61">
        <v>3</v>
      </c>
      <c r="D61">
        <v>0</v>
      </c>
      <c r="E61" t="s">
        <v>39</v>
      </c>
      <c r="F61" t="s">
        <v>13</v>
      </c>
      <c r="G61">
        <v>150</v>
      </c>
      <c r="H61">
        <v>5</v>
      </c>
      <c r="I61" t="s">
        <v>143</v>
      </c>
      <c r="J61" t="s">
        <v>107</v>
      </c>
    </row>
    <row r="62" spans="1:10">
      <c r="A62" t="s">
        <v>144</v>
      </c>
      <c r="B62" t="s">
        <v>37</v>
      </c>
      <c r="C62">
        <v>0</v>
      </c>
      <c r="D62">
        <v>0</v>
      </c>
      <c r="E62" t="s">
        <v>15</v>
      </c>
      <c r="F62" t="s">
        <v>38</v>
      </c>
      <c r="G62">
        <v>2335</v>
      </c>
      <c r="H62">
        <v>29</v>
      </c>
      <c r="I62" t="s">
        <v>147</v>
      </c>
      <c r="J62" t="s">
        <v>107</v>
      </c>
    </row>
    <row r="63" spans="1:10">
      <c r="A63" t="s">
        <v>144</v>
      </c>
      <c r="B63" t="s">
        <v>9</v>
      </c>
      <c r="C63">
        <v>3</v>
      </c>
      <c r="D63">
        <v>0</v>
      </c>
      <c r="E63" t="s">
        <v>27</v>
      </c>
      <c r="F63" t="s">
        <v>10</v>
      </c>
      <c r="G63">
        <v>60</v>
      </c>
      <c r="H63">
        <v>1410</v>
      </c>
      <c r="I63" t="s">
        <v>143</v>
      </c>
      <c r="J63" t="s">
        <v>107</v>
      </c>
    </row>
    <row r="64" spans="1:10">
      <c r="A64" t="s">
        <v>144</v>
      </c>
      <c r="B64" t="s">
        <v>23</v>
      </c>
      <c r="C64">
        <v>1</v>
      </c>
      <c r="D64">
        <v>2</v>
      </c>
      <c r="E64" t="s">
        <v>17</v>
      </c>
      <c r="F64" t="s">
        <v>18</v>
      </c>
      <c r="G64">
        <v>3399</v>
      </c>
      <c r="H64">
        <v>3399</v>
      </c>
      <c r="I64" t="s">
        <v>113</v>
      </c>
      <c r="J64" t="s">
        <v>105</v>
      </c>
    </row>
    <row r="65" spans="1:10">
      <c r="A65" t="s">
        <v>148</v>
      </c>
      <c r="B65" t="s">
        <v>5</v>
      </c>
      <c r="C65">
        <v>1</v>
      </c>
      <c r="D65">
        <v>1</v>
      </c>
      <c r="E65" t="s">
        <v>37</v>
      </c>
      <c r="F65" t="s">
        <v>6</v>
      </c>
      <c r="G65">
        <v>3050</v>
      </c>
      <c r="H65">
        <v>2335</v>
      </c>
      <c r="I65" t="s">
        <v>119</v>
      </c>
      <c r="J65" t="s">
        <v>109</v>
      </c>
    </row>
    <row r="66" spans="1:10">
      <c r="A66" t="s">
        <v>148</v>
      </c>
      <c r="B66" t="s">
        <v>17</v>
      </c>
      <c r="C66">
        <v>3</v>
      </c>
      <c r="D66">
        <v>0</v>
      </c>
      <c r="E66" t="s">
        <v>30</v>
      </c>
      <c r="F66" t="s">
        <v>18</v>
      </c>
      <c r="G66">
        <v>3399</v>
      </c>
      <c r="H66">
        <v>2750</v>
      </c>
      <c r="I66" t="s">
        <v>134</v>
      </c>
      <c r="J66" t="s">
        <v>107</v>
      </c>
    </row>
    <row r="67" spans="1:10">
      <c r="A67" t="s">
        <v>148</v>
      </c>
      <c r="B67" t="s">
        <v>27</v>
      </c>
      <c r="C67">
        <v>1</v>
      </c>
      <c r="D67">
        <v>2</v>
      </c>
      <c r="E67" t="s">
        <v>23</v>
      </c>
      <c r="F67" t="s">
        <v>28</v>
      </c>
      <c r="G67">
        <v>1410</v>
      </c>
      <c r="H67">
        <v>3399</v>
      </c>
      <c r="I67" t="s">
        <v>135</v>
      </c>
      <c r="J67" t="s">
        <v>105</v>
      </c>
    </row>
    <row r="68" spans="1:10">
      <c r="A68" t="s">
        <v>148</v>
      </c>
      <c r="B68" t="s">
        <v>19</v>
      </c>
      <c r="C68">
        <v>0</v>
      </c>
      <c r="D68">
        <v>0</v>
      </c>
      <c r="E68" t="s">
        <v>43</v>
      </c>
      <c r="F68" t="s">
        <v>20</v>
      </c>
      <c r="G68">
        <v>2637</v>
      </c>
      <c r="H68">
        <v>150</v>
      </c>
      <c r="I68" t="s">
        <v>149</v>
      </c>
      <c r="J68" t="s">
        <v>107</v>
      </c>
    </row>
    <row r="69" spans="1:10">
      <c r="A69" t="s">
        <v>148</v>
      </c>
      <c r="B69" t="s">
        <v>35</v>
      </c>
      <c r="C69">
        <v>3</v>
      </c>
      <c r="D69">
        <v>2</v>
      </c>
      <c r="E69" t="s">
        <v>42</v>
      </c>
      <c r="F69" t="s">
        <v>36</v>
      </c>
      <c r="G69">
        <v>2926</v>
      </c>
      <c r="H69">
        <v>150</v>
      </c>
      <c r="I69" t="s">
        <v>133</v>
      </c>
      <c r="J69" t="s">
        <v>105</v>
      </c>
    </row>
    <row r="70" spans="1:10">
      <c r="A70" t="s">
        <v>148</v>
      </c>
      <c r="B70" t="s">
        <v>12</v>
      </c>
      <c r="C70">
        <v>2</v>
      </c>
      <c r="D70">
        <v>0</v>
      </c>
      <c r="E70" t="s">
        <v>32</v>
      </c>
      <c r="F70" t="s">
        <v>13</v>
      </c>
      <c r="G70">
        <v>150</v>
      </c>
      <c r="H70">
        <v>209</v>
      </c>
      <c r="I70" t="s">
        <v>115</v>
      </c>
      <c r="J70" t="s">
        <v>107</v>
      </c>
    </row>
    <row r="71" spans="1:10">
      <c r="A71" t="s">
        <v>148</v>
      </c>
      <c r="B71" t="s">
        <v>44</v>
      </c>
      <c r="C71">
        <v>1</v>
      </c>
      <c r="D71">
        <v>1</v>
      </c>
      <c r="E71" t="s">
        <v>9</v>
      </c>
      <c r="F71" t="s">
        <v>31</v>
      </c>
      <c r="G71">
        <v>2750</v>
      </c>
      <c r="H71">
        <v>60</v>
      </c>
      <c r="I71" t="s">
        <v>124</v>
      </c>
      <c r="J71" t="s">
        <v>109</v>
      </c>
    </row>
    <row r="72" spans="1:10">
      <c r="A72" t="s">
        <v>148</v>
      </c>
      <c r="B72" t="s">
        <v>15</v>
      </c>
      <c r="C72">
        <v>0</v>
      </c>
      <c r="D72">
        <v>0</v>
      </c>
      <c r="E72" t="s">
        <v>26</v>
      </c>
      <c r="F72" t="s">
        <v>16</v>
      </c>
      <c r="G72">
        <v>29</v>
      </c>
      <c r="H72">
        <v>3399</v>
      </c>
      <c r="I72" t="s">
        <v>120</v>
      </c>
      <c r="J72" t="s">
        <v>107</v>
      </c>
    </row>
    <row r="73" spans="1:10">
      <c r="A73" t="s">
        <v>148</v>
      </c>
      <c r="B73" t="s">
        <v>39</v>
      </c>
      <c r="C73">
        <v>3</v>
      </c>
      <c r="D73">
        <v>0</v>
      </c>
      <c r="E73" t="s">
        <v>24</v>
      </c>
      <c r="F73" t="s">
        <v>40</v>
      </c>
      <c r="G73">
        <v>5</v>
      </c>
      <c r="H73">
        <v>3259</v>
      </c>
      <c r="I73" t="s">
        <v>150</v>
      </c>
      <c r="J73" t="s">
        <v>107</v>
      </c>
    </row>
    <row r="74" spans="1:10">
      <c r="A74" t="s">
        <v>151</v>
      </c>
      <c r="B74" t="s">
        <v>42</v>
      </c>
      <c r="C74">
        <v>1</v>
      </c>
      <c r="D74">
        <v>2</v>
      </c>
      <c r="E74" t="s">
        <v>27</v>
      </c>
      <c r="F74" t="s">
        <v>13</v>
      </c>
      <c r="G74">
        <v>150</v>
      </c>
      <c r="H74">
        <v>1410</v>
      </c>
      <c r="I74" t="s">
        <v>121</v>
      </c>
      <c r="J74" t="s">
        <v>105</v>
      </c>
    </row>
    <row r="75" spans="1:10">
      <c r="A75" t="s">
        <v>151</v>
      </c>
      <c r="B75" t="s">
        <v>9</v>
      </c>
      <c r="C75">
        <v>2</v>
      </c>
      <c r="D75">
        <v>2</v>
      </c>
      <c r="E75" t="s">
        <v>15</v>
      </c>
      <c r="F75" t="s">
        <v>10</v>
      </c>
      <c r="G75">
        <v>60</v>
      </c>
      <c r="H75">
        <v>29</v>
      </c>
      <c r="I75" t="s">
        <v>115</v>
      </c>
      <c r="J75" t="s">
        <v>105</v>
      </c>
    </row>
    <row r="76" spans="1:10">
      <c r="A76" t="s">
        <v>151</v>
      </c>
      <c r="B76" t="s">
        <v>17</v>
      </c>
      <c r="C76">
        <v>3</v>
      </c>
      <c r="D76">
        <v>2</v>
      </c>
      <c r="E76" t="s">
        <v>5</v>
      </c>
      <c r="F76" t="s">
        <v>18</v>
      </c>
      <c r="G76">
        <v>3399</v>
      </c>
      <c r="H76">
        <v>3050</v>
      </c>
      <c r="I76" t="s">
        <v>134</v>
      </c>
      <c r="J76" t="s">
        <v>105</v>
      </c>
    </row>
    <row r="77" spans="1:10">
      <c r="A77" t="s">
        <v>151</v>
      </c>
      <c r="B77" t="s">
        <v>26</v>
      </c>
      <c r="C77">
        <v>3</v>
      </c>
      <c r="D77">
        <v>2</v>
      </c>
      <c r="E77" t="s">
        <v>39</v>
      </c>
      <c r="F77" t="s">
        <v>18</v>
      </c>
      <c r="G77">
        <v>3399</v>
      </c>
      <c r="H77">
        <v>5</v>
      </c>
      <c r="I77" t="s">
        <v>134</v>
      </c>
      <c r="J77" t="s">
        <v>105</v>
      </c>
    </row>
    <row r="78" spans="1:10">
      <c r="A78" t="s">
        <v>151</v>
      </c>
      <c r="B78" t="s">
        <v>37</v>
      </c>
      <c r="C78">
        <v>1</v>
      </c>
      <c r="D78">
        <v>3</v>
      </c>
      <c r="E78" t="s">
        <v>23</v>
      </c>
      <c r="F78" t="s">
        <v>38</v>
      </c>
      <c r="G78">
        <v>2335</v>
      </c>
      <c r="H78">
        <v>3399</v>
      </c>
      <c r="I78" t="s">
        <v>137</v>
      </c>
      <c r="J78" t="s">
        <v>111</v>
      </c>
    </row>
    <row r="79" spans="1:10">
      <c r="A79" t="s">
        <v>151</v>
      </c>
      <c r="B79" t="s">
        <v>43</v>
      </c>
      <c r="C79">
        <v>1</v>
      </c>
      <c r="D79">
        <v>0</v>
      </c>
      <c r="E79" t="s">
        <v>12</v>
      </c>
      <c r="F79" t="s">
        <v>13</v>
      </c>
      <c r="G79">
        <v>150</v>
      </c>
      <c r="H79">
        <v>150</v>
      </c>
      <c r="I79" t="s">
        <v>121</v>
      </c>
      <c r="J79" t="s">
        <v>107</v>
      </c>
    </row>
    <row r="80" spans="1:10">
      <c r="A80" t="s">
        <v>151</v>
      </c>
      <c r="B80" t="s">
        <v>24</v>
      </c>
      <c r="C80">
        <v>1</v>
      </c>
      <c r="D80">
        <v>1</v>
      </c>
      <c r="E80" t="s">
        <v>19</v>
      </c>
      <c r="F80" t="s">
        <v>25</v>
      </c>
      <c r="G80">
        <v>3259</v>
      </c>
      <c r="H80">
        <v>2637</v>
      </c>
      <c r="I80" t="s">
        <v>104</v>
      </c>
      <c r="J80" t="s">
        <v>109</v>
      </c>
    </row>
    <row r="81" spans="1:10">
      <c r="A81" t="s">
        <v>151</v>
      </c>
      <c r="B81" t="s">
        <v>32</v>
      </c>
      <c r="C81">
        <v>2</v>
      </c>
      <c r="D81">
        <v>1</v>
      </c>
      <c r="E81" t="s">
        <v>44</v>
      </c>
      <c r="F81" t="s">
        <v>33</v>
      </c>
      <c r="G81">
        <v>209</v>
      </c>
      <c r="H81">
        <v>2750</v>
      </c>
      <c r="I81" t="s">
        <v>141</v>
      </c>
      <c r="J81" t="s">
        <v>109</v>
      </c>
    </row>
    <row r="82" spans="1:10">
      <c r="A82" t="s">
        <v>151</v>
      </c>
      <c r="B82" t="s">
        <v>30</v>
      </c>
      <c r="C82">
        <v>0</v>
      </c>
      <c r="D82">
        <v>1</v>
      </c>
      <c r="E82" t="s">
        <v>35</v>
      </c>
      <c r="F82" t="s">
        <v>31</v>
      </c>
      <c r="G82">
        <v>2750</v>
      </c>
      <c r="H82">
        <v>2926</v>
      </c>
      <c r="I82" t="s">
        <v>139</v>
      </c>
      <c r="J82" t="s">
        <v>109</v>
      </c>
    </row>
    <row r="83" spans="1:10">
      <c r="A83" t="s">
        <v>152</v>
      </c>
      <c r="B83" t="s">
        <v>27</v>
      </c>
      <c r="C83">
        <v>3</v>
      </c>
      <c r="D83">
        <v>0</v>
      </c>
      <c r="E83" t="s">
        <v>32</v>
      </c>
      <c r="F83" t="s">
        <v>28</v>
      </c>
      <c r="G83">
        <v>1410</v>
      </c>
      <c r="H83">
        <v>209</v>
      </c>
      <c r="I83" t="s">
        <v>153</v>
      </c>
      <c r="J83" t="s">
        <v>107</v>
      </c>
    </row>
    <row r="84" spans="1:10">
      <c r="A84" t="s">
        <v>152</v>
      </c>
      <c r="B84" t="s">
        <v>5</v>
      </c>
      <c r="C84">
        <v>0</v>
      </c>
      <c r="D84">
        <v>1</v>
      </c>
      <c r="E84" t="s">
        <v>12</v>
      </c>
      <c r="F84" t="s">
        <v>6</v>
      </c>
      <c r="G84">
        <v>3050</v>
      </c>
      <c r="H84">
        <v>150</v>
      </c>
      <c r="I84" t="s">
        <v>154</v>
      </c>
      <c r="J84" t="s">
        <v>109</v>
      </c>
    </row>
    <row r="85" spans="1:10">
      <c r="A85" t="s">
        <v>152</v>
      </c>
      <c r="B85" t="s">
        <v>39</v>
      </c>
      <c r="C85">
        <v>1</v>
      </c>
      <c r="D85">
        <v>3</v>
      </c>
      <c r="E85" t="s">
        <v>37</v>
      </c>
      <c r="F85" t="s">
        <v>40</v>
      </c>
      <c r="G85">
        <v>5</v>
      </c>
      <c r="H85">
        <v>2335</v>
      </c>
      <c r="I85" t="s">
        <v>108</v>
      </c>
      <c r="J85" t="s">
        <v>111</v>
      </c>
    </row>
    <row r="86" spans="1:10">
      <c r="A86" t="s">
        <v>152</v>
      </c>
      <c r="B86" t="s">
        <v>44</v>
      </c>
      <c r="C86">
        <v>2</v>
      </c>
      <c r="D86">
        <v>2</v>
      </c>
      <c r="E86" t="s">
        <v>24</v>
      </c>
      <c r="F86" t="s">
        <v>31</v>
      </c>
      <c r="G86">
        <v>2750</v>
      </c>
      <c r="H86">
        <v>3259</v>
      </c>
      <c r="I86" t="s">
        <v>106</v>
      </c>
      <c r="J86" t="s">
        <v>105</v>
      </c>
    </row>
    <row r="87" spans="1:10">
      <c r="A87" t="s">
        <v>152</v>
      </c>
      <c r="B87" t="s">
        <v>19</v>
      </c>
      <c r="C87">
        <v>1</v>
      </c>
      <c r="D87">
        <v>0</v>
      </c>
      <c r="E87" t="s">
        <v>9</v>
      </c>
      <c r="F87" t="s">
        <v>20</v>
      </c>
      <c r="G87">
        <v>2637</v>
      </c>
      <c r="H87">
        <v>60</v>
      </c>
      <c r="I87" t="s">
        <v>116</v>
      </c>
      <c r="J87" t="s">
        <v>107</v>
      </c>
    </row>
    <row r="88" spans="1:10">
      <c r="A88" t="s">
        <v>152</v>
      </c>
      <c r="B88" t="s">
        <v>15</v>
      </c>
      <c r="C88">
        <v>4</v>
      </c>
      <c r="D88">
        <v>1</v>
      </c>
      <c r="E88" t="s">
        <v>42</v>
      </c>
      <c r="F88" t="s">
        <v>16</v>
      </c>
      <c r="G88">
        <v>29</v>
      </c>
      <c r="H88">
        <v>150</v>
      </c>
      <c r="I88" t="s">
        <v>155</v>
      </c>
      <c r="J88" t="s">
        <v>109</v>
      </c>
    </row>
    <row r="89" spans="1:10">
      <c r="A89" t="s">
        <v>152</v>
      </c>
      <c r="B89" t="s">
        <v>23</v>
      </c>
      <c r="C89">
        <v>1</v>
      </c>
      <c r="D89">
        <v>0</v>
      </c>
      <c r="E89" t="s">
        <v>30</v>
      </c>
      <c r="F89" t="s">
        <v>18</v>
      </c>
      <c r="G89">
        <v>3399</v>
      </c>
      <c r="H89">
        <v>2750</v>
      </c>
      <c r="I89" t="s">
        <v>113</v>
      </c>
      <c r="J89" t="s">
        <v>107</v>
      </c>
    </row>
    <row r="90" spans="1:10">
      <c r="A90" t="s">
        <v>152</v>
      </c>
      <c r="B90" t="s">
        <v>43</v>
      </c>
      <c r="C90">
        <v>4</v>
      </c>
      <c r="D90">
        <v>1</v>
      </c>
      <c r="E90" t="s">
        <v>26</v>
      </c>
      <c r="F90" t="s">
        <v>13</v>
      </c>
      <c r="G90">
        <v>150</v>
      </c>
      <c r="H90">
        <v>3399</v>
      </c>
      <c r="I90" t="s">
        <v>156</v>
      </c>
      <c r="J90" t="s">
        <v>109</v>
      </c>
    </row>
    <row r="91" spans="1:10">
      <c r="A91" t="s">
        <v>152</v>
      </c>
      <c r="B91" t="s">
        <v>35</v>
      </c>
      <c r="C91">
        <v>1</v>
      </c>
      <c r="D91">
        <v>0</v>
      </c>
      <c r="E91" t="s">
        <v>17</v>
      </c>
      <c r="F91" t="s">
        <v>36</v>
      </c>
      <c r="G91">
        <v>2926</v>
      </c>
      <c r="H91">
        <v>3399</v>
      </c>
      <c r="I91" t="s">
        <v>122</v>
      </c>
      <c r="J91" t="s">
        <v>107</v>
      </c>
    </row>
    <row r="92" spans="1:10">
      <c r="A92" t="s">
        <v>157</v>
      </c>
      <c r="B92" t="s">
        <v>35</v>
      </c>
      <c r="C92">
        <v>2</v>
      </c>
      <c r="D92">
        <v>0</v>
      </c>
      <c r="E92" t="s">
        <v>15</v>
      </c>
      <c r="F92" t="s">
        <v>36</v>
      </c>
      <c r="G92">
        <v>2926</v>
      </c>
      <c r="H92">
        <v>29</v>
      </c>
      <c r="I92" t="s">
        <v>158</v>
      </c>
      <c r="J92" t="s">
        <v>107</v>
      </c>
    </row>
    <row r="93" spans="1:10">
      <c r="A93" t="s">
        <v>157</v>
      </c>
      <c r="B93" t="s">
        <v>30</v>
      </c>
      <c r="C93">
        <v>2</v>
      </c>
      <c r="D93">
        <v>2</v>
      </c>
      <c r="E93" t="s">
        <v>5</v>
      </c>
      <c r="F93" t="s">
        <v>31</v>
      </c>
      <c r="G93">
        <v>2750</v>
      </c>
      <c r="H93">
        <v>3050</v>
      </c>
      <c r="I93" t="s">
        <v>106</v>
      </c>
      <c r="J93" t="s">
        <v>105</v>
      </c>
    </row>
    <row r="94" spans="1:10">
      <c r="A94" t="s">
        <v>157</v>
      </c>
      <c r="B94" t="s">
        <v>32</v>
      </c>
      <c r="C94">
        <v>2</v>
      </c>
      <c r="D94">
        <v>2</v>
      </c>
      <c r="E94" t="s">
        <v>19</v>
      </c>
      <c r="F94" t="s">
        <v>33</v>
      </c>
      <c r="G94">
        <v>209</v>
      </c>
      <c r="H94">
        <v>2637</v>
      </c>
      <c r="I94" t="s">
        <v>141</v>
      </c>
      <c r="J94" t="s">
        <v>105</v>
      </c>
    </row>
    <row r="95" spans="1:10">
      <c r="A95" t="s">
        <v>157</v>
      </c>
      <c r="B95" t="s">
        <v>24</v>
      </c>
      <c r="C95">
        <v>2</v>
      </c>
      <c r="D95">
        <v>1</v>
      </c>
      <c r="E95" t="s">
        <v>26</v>
      </c>
      <c r="F95" t="s">
        <v>25</v>
      </c>
      <c r="G95">
        <v>3259</v>
      </c>
      <c r="H95">
        <v>3399</v>
      </c>
      <c r="I95" t="s">
        <v>128</v>
      </c>
      <c r="J95" t="s">
        <v>109</v>
      </c>
    </row>
    <row r="96" spans="1:10">
      <c r="A96" t="s">
        <v>157</v>
      </c>
      <c r="B96" t="s">
        <v>12</v>
      </c>
      <c r="C96">
        <v>8</v>
      </c>
      <c r="D96">
        <v>0</v>
      </c>
      <c r="E96" t="s">
        <v>23</v>
      </c>
      <c r="F96" t="s">
        <v>13</v>
      </c>
      <c r="G96">
        <v>150</v>
      </c>
      <c r="H96">
        <v>3399</v>
      </c>
      <c r="I96" t="s">
        <v>159</v>
      </c>
      <c r="J96" t="s">
        <v>107</v>
      </c>
    </row>
    <row r="97" spans="1:10">
      <c r="A97" t="s">
        <v>157</v>
      </c>
      <c r="B97" t="s">
        <v>42</v>
      </c>
      <c r="C97">
        <v>3</v>
      </c>
      <c r="D97">
        <v>2</v>
      </c>
      <c r="E97" t="s">
        <v>44</v>
      </c>
      <c r="F97" t="s">
        <v>13</v>
      </c>
      <c r="G97">
        <v>150</v>
      </c>
      <c r="H97">
        <v>2750</v>
      </c>
      <c r="I97" t="s">
        <v>143</v>
      </c>
      <c r="J97" t="s">
        <v>105</v>
      </c>
    </row>
    <row r="98" spans="1:10">
      <c r="A98" t="s">
        <v>157</v>
      </c>
      <c r="B98" t="s">
        <v>9</v>
      </c>
      <c r="C98">
        <v>0</v>
      </c>
      <c r="D98">
        <v>1</v>
      </c>
      <c r="E98" t="s">
        <v>39</v>
      </c>
      <c r="F98" t="s">
        <v>10</v>
      </c>
      <c r="G98">
        <v>60</v>
      </c>
      <c r="H98">
        <v>5</v>
      </c>
      <c r="I98" t="s">
        <v>127</v>
      </c>
      <c r="J98" t="s">
        <v>109</v>
      </c>
    </row>
    <row r="99" spans="1:10">
      <c r="A99" t="s">
        <v>157</v>
      </c>
      <c r="B99" t="s">
        <v>37</v>
      </c>
      <c r="C99">
        <v>2</v>
      </c>
      <c r="D99">
        <v>1</v>
      </c>
      <c r="E99" t="s">
        <v>43</v>
      </c>
      <c r="F99" t="s">
        <v>38</v>
      </c>
      <c r="G99">
        <v>2335</v>
      </c>
      <c r="H99">
        <v>150</v>
      </c>
      <c r="I99" t="s">
        <v>112</v>
      </c>
      <c r="J99" t="s">
        <v>109</v>
      </c>
    </row>
    <row r="100" spans="1:10">
      <c r="A100" t="s">
        <v>157</v>
      </c>
      <c r="B100" t="s">
        <v>17</v>
      </c>
      <c r="C100">
        <v>2</v>
      </c>
      <c r="D100">
        <v>1</v>
      </c>
      <c r="E100" t="s">
        <v>27</v>
      </c>
      <c r="F100" t="s">
        <v>18</v>
      </c>
      <c r="G100">
        <v>3399</v>
      </c>
      <c r="H100">
        <v>1410</v>
      </c>
      <c r="I100" t="s">
        <v>138</v>
      </c>
      <c r="J100" t="s">
        <v>109</v>
      </c>
    </row>
    <row r="101" spans="1:10">
      <c r="A101" t="s">
        <v>160</v>
      </c>
      <c r="B101" t="s">
        <v>27</v>
      </c>
      <c r="C101">
        <v>2</v>
      </c>
      <c r="D101">
        <v>1</v>
      </c>
      <c r="E101" t="s">
        <v>30</v>
      </c>
      <c r="F101" t="s">
        <v>28</v>
      </c>
      <c r="G101">
        <v>1410</v>
      </c>
      <c r="H101">
        <v>2750</v>
      </c>
      <c r="I101" t="s">
        <v>118</v>
      </c>
      <c r="J101" t="s">
        <v>109</v>
      </c>
    </row>
    <row r="102" spans="1:10">
      <c r="A102" t="s">
        <v>160</v>
      </c>
      <c r="B102" t="s">
        <v>19</v>
      </c>
      <c r="C102">
        <v>1</v>
      </c>
      <c r="D102">
        <v>0</v>
      </c>
      <c r="E102" t="s">
        <v>42</v>
      </c>
      <c r="F102" t="s">
        <v>20</v>
      </c>
      <c r="G102">
        <v>2637</v>
      </c>
      <c r="H102">
        <v>150</v>
      </c>
      <c r="I102" t="s">
        <v>116</v>
      </c>
      <c r="J102" t="s">
        <v>107</v>
      </c>
    </row>
    <row r="103" spans="1:10">
      <c r="A103" t="s">
        <v>160</v>
      </c>
      <c r="B103" t="s">
        <v>39</v>
      </c>
      <c r="C103">
        <v>1</v>
      </c>
      <c r="D103">
        <v>1</v>
      </c>
      <c r="E103" t="s">
        <v>32</v>
      </c>
      <c r="F103" t="s">
        <v>40</v>
      </c>
      <c r="G103">
        <v>5</v>
      </c>
      <c r="H103">
        <v>209</v>
      </c>
      <c r="I103" t="s">
        <v>108</v>
      </c>
      <c r="J103" t="s">
        <v>109</v>
      </c>
    </row>
    <row r="104" spans="1:10">
      <c r="A104" t="s">
        <v>160</v>
      </c>
      <c r="B104" t="s">
        <v>44</v>
      </c>
      <c r="C104">
        <v>2</v>
      </c>
      <c r="D104">
        <v>2</v>
      </c>
      <c r="E104" t="s">
        <v>17</v>
      </c>
      <c r="F104" t="s">
        <v>31</v>
      </c>
      <c r="G104">
        <v>2750</v>
      </c>
      <c r="H104">
        <v>3399</v>
      </c>
      <c r="I104" t="s">
        <v>106</v>
      </c>
      <c r="J104" t="s">
        <v>105</v>
      </c>
    </row>
    <row r="105" spans="1:10">
      <c r="A105" t="s">
        <v>160</v>
      </c>
      <c r="B105" t="s">
        <v>23</v>
      </c>
      <c r="C105">
        <v>2</v>
      </c>
      <c r="D105">
        <v>1</v>
      </c>
      <c r="E105" t="s">
        <v>24</v>
      </c>
      <c r="F105" t="s">
        <v>18</v>
      </c>
      <c r="G105">
        <v>3399</v>
      </c>
      <c r="H105">
        <v>3259</v>
      </c>
      <c r="I105" t="s">
        <v>138</v>
      </c>
      <c r="J105" t="s">
        <v>109</v>
      </c>
    </row>
    <row r="106" spans="1:10">
      <c r="A106" t="s">
        <v>160</v>
      </c>
      <c r="B106" t="s">
        <v>15</v>
      </c>
      <c r="C106">
        <v>0</v>
      </c>
      <c r="D106">
        <v>1</v>
      </c>
      <c r="E106" t="s">
        <v>12</v>
      </c>
      <c r="F106" t="s">
        <v>16</v>
      </c>
      <c r="G106">
        <v>29</v>
      </c>
      <c r="H106">
        <v>150</v>
      </c>
      <c r="I106" t="s">
        <v>120</v>
      </c>
      <c r="J106" t="s">
        <v>109</v>
      </c>
    </row>
    <row r="107" spans="1:10">
      <c r="A107" t="s">
        <v>160</v>
      </c>
      <c r="B107" t="s">
        <v>43</v>
      </c>
      <c r="C107">
        <v>1</v>
      </c>
      <c r="D107">
        <v>2</v>
      </c>
      <c r="E107" t="s">
        <v>9</v>
      </c>
      <c r="F107" t="s">
        <v>13</v>
      </c>
      <c r="G107">
        <v>150</v>
      </c>
      <c r="H107">
        <v>60</v>
      </c>
      <c r="I107" t="s">
        <v>121</v>
      </c>
      <c r="J107" t="s">
        <v>105</v>
      </c>
    </row>
    <row r="108" spans="1:10">
      <c r="A108" t="s">
        <v>160</v>
      </c>
      <c r="B108" t="s">
        <v>5</v>
      </c>
      <c r="C108">
        <v>4</v>
      </c>
      <c r="D108">
        <v>0</v>
      </c>
      <c r="E108" t="s">
        <v>35</v>
      </c>
      <c r="F108" t="s">
        <v>6</v>
      </c>
      <c r="G108">
        <v>3050</v>
      </c>
      <c r="H108">
        <v>2926</v>
      </c>
      <c r="I108" t="s">
        <v>161</v>
      </c>
      <c r="J108" t="s">
        <v>107</v>
      </c>
    </row>
    <row r="109" spans="1:10">
      <c r="A109" t="s">
        <v>160</v>
      </c>
      <c r="B109" t="s">
        <v>26</v>
      </c>
      <c r="C109">
        <v>1</v>
      </c>
      <c r="D109">
        <v>0</v>
      </c>
      <c r="E109" t="s">
        <v>37</v>
      </c>
      <c r="F109" t="s">
        <v>18</v>
      </c>
      <c r="G109">
        <v>3399</v>
      </c>
      <c r="H109">
        <v>2335</v>
      </c>
      <c r="I109" t="s">
        <v>113</v>
      </c>
      <c r="J109" t="s">
        <v>107</v>
      </c>
    </row>
    <row r="110" spans="1:10">
      <c r="A110" t="s">
        <v>162</v>
      </c>
      <c r="B110" t="s">
        <v>30</v>
      </c>
      <c r="C110">
        <v>3</v>
      </c>
      <c r="D110">
        <v>2</v>
      </c>
      <c r="E110" t="s">
        <v>39</v>
      </c>
      <c r="F110" t="s">
        <v>31</v>
      </c>
      <c r="G110">
        <v>2750</v>
      </c>
      <c r="H110">
        <v>5</v>
      </c>
      <c r="I110" t="s">
        <v>131</v>
      </c>
      <c r="J110" t="s">
        <v>105</v>
      </c>
    </row>
    <row r="111" spans="1:10">
      <c r="A111" t="s">
        <v>162</v>
      </c>
      <c r="B111" t="s">
        <v>5</v>
      </c>
      <c r="C111">
        <v>1</v>
      </c>
      <c r="D111">
        <v>0</v>
      </c>
      <c r="E111" t="s">
        <v>15</v>
      </c>
      <c r="F111" t="s">
        <v>6</v>
      </c>
      <c r="G111">
        <v>3050</v>
      </c>
      <c r="H111">
        <v>29</v>
      </c>
      <c r="I111" t="s">
        <v>119</v>
      </c>
      <c r="J111" t="s">
        <v>107</v>
      </c>
    </row>
    <row r="112" spans="1:10">
      <c r="A112" t="s">
        <v>162</v>
      </c>
      <c r="B112" t="s">
        <v>17</v>
      </c>
      <c r="C112">
        <v>1</v>
      </c>
      <c r="D112">
        <v>0</v>
      </c>
      <c r="E112" t="s">
        <v>19</v>
      </c>
      <c r="F112" t="s">
        <v>18</v>
      </c>
      <c r="G112">
        <v>3399</v>
      </c>
      <c r="H112">
        <v>2637</v>
      </c>
      <c r="I112" t="s">
        <v>113</v>
      </c>
      <c r="J112" t="s">
        <v>107</v>
      </c>
    </row>
    <row r="113" spans="1:10">
      <c r="A113" t="s">
        <v>162</v>
      </c>
      <c r="B113" t="s">
        <v>12</v>
      </c>
      <c r="C113">
        <v>2</v>
      </c>
      <c r="D113">
        <v>1</v>
      </c>
      <c r="E113" t="s">
        <v>27</v>
      </c>
      <c r="F113" t="s">
        <v>13</v>
      </c>
      <c r="G113">
        <v>150</v>
      </c>
      <c r="H113">
        <v>1410</v>
      </c>
      <c r="I113" t="s">
        <v>115</v>
      </c>
      <c r="J113" t="s">
        <v>109</v>
      </c>
    </row>
    <row r="114" spans="1:10">
      <c r="A114" t="s">
        <v>162</v>
      </c>
      <c r="B114" t="s">
        <v>42</v>
      </c>
      <c r="C114">
        <v>2</v>
      </c>
      <c r="D114">
        <v>2</v>
      </c>
      <c r="E114" t="s">
        <v>23</v>
      </c>
      <c r="F114" t="s">
        <v>13</v>
      </c>
      <c r="G114">
        <v>150</v>
      </c>
      <c r="H114">
        <v>3399</v>
      </c>
      <c r="I114" t="s">
        <v>115</v>
      </c>
      <c r="J114" t="s">
        <v>105</v>
      </c>
    </row>
    <row r="115" spans="1:10">
      <c r="A115" t="s">
        <v>162</v>
      </c>
      <c r="B115" t="s">
        <v>32</v>
      </c>
      <c r="C115">
        <v>1</v>
      </c>
      <c r="D115">
        <v>4</v>
      </c>
      <c r="E115" t="s">
        <v>43</v>
      </c>
      <c r="F115" t="s">
        <v>33</v>
      </c>
      <c r="G115">
        <v>209</v>
      </c>
      <c r="H115">
        <v>150</v>
      </c>
      <c r="I115" t="s">
        <v>121</v>
      </c>
      <c r="J115" t="s">
        <v>145</v>
      </c>
    </row>
    <row r="116" spans="1:10">
      <c r="A116" t="s">
        <v>162</v>
      </c>
      <c r="B116" t="s">
        <v>9</v>
      </c>
      <c r="C116">
        <v>4</v>
      </c>
      <c r="D116">
        <v>1</v>
      </c>
      <c r="E116" t="s">
        <v>24</v>
      </c>
      <c r="F116" t="s">
        <v>10</v>
      </c>
      <c r="G116">
        <v>60</v>
      </c>
      <c r="H116">
        <v>3259</v>
      </c>
      <c r="I116" t="s">
        <v>163</v>
      </c>
      <c r="J116" t="s">
        <v>109</v>
      </c>
    </row>
    <row r="117" spans="1:10">
      <c r="A117" t="s">
        <v>162</v>
      </c>
      <c r="B117" t="s">
        <v>37</v>
      </c>
      <c r="C117">
        <v>2</v>
      </c>
      <c r="D117">
        <v>0</v>
      </c>
      <c r="E117" t="s">
        <v>44</v>
      </c>
      <c r="F117" t="s">
        <v>38</v>
      </c>
      <c r="G117">
        <v>2335</v>
      </c>
      <c r="H117">
        <v>2750</v>
      </c>
      <c r="I117" t="s">
        <v>112</v>
      </c>
      <c r="J117" t="s">
        <v>107</v>
      </c>
    </row>
    <row r="118" spans="1:10">
      <c r="A118" t="s">
        <v>162</v>
      </c>
      <c r="B118" t="s">
        <v>35</v>
      </c>
      <c r="C118">
        <v>0</v>
      </c>
      <c r="D118">
        <v>1</v>
      </c>
      <c r="E118" t="s">
        <v>26</v>
      </c>
      <c r="F118" t="s">
        <v>36</v>
      </c>
      <c r="G118">
        <v>2926</v>
      </c>
      <c r="H118">
        <v>3399</v>
      </c>
      <c r="I118" t="s">
        <v>164</v>
      </c>
      <c r="J118" t="s">
        <v>109</v>
      </c>
    </row>
    <row r="119" spans="1:10">
      <c r="A119" t="s">
        <v>165</v>
      </c>
      <c r="B119" t="s">
        <v>44</v>
      </c>
      <c r="C119">
        <v>1</v>
      </c>
      <c r="D119">
        <v>2</v>
      </c>
      <c r="E119" t="s">
        <v>30</v>
      </c>
      <c r="F119" t="s">
        <v>31</v>
      </c>
      <c r="G119">
        <v>2750</v>
      </c>
      <c r="H119">
        <v>2750</v>
      </c>
      <c r="I119" t="s">
        <v>124</v>
      </c>
      <c r="J119" t="s">
        <v>105</v>
      </c>
    </row>
    <row r="120" spans="1:10">
      <c r="A120" t="s">
        <v>165</v>
      </c>
      <c r="B120" t="s">
        <v>27</v>
      </c>
      <c r="C120">
        <v>2</v>
      </c>
      <c r="D120">
        <v>2</v>
      </c>
      <c r="E120" t="s">
        <v>5</v>
      </c>
      <c r="F120" t="s">
        <v>28</v>
      </c>
      <c r="G120">
        <v>1410</v>
      </c>
      <c r="H120">
        <v>3050</v>
      </c>
      <c r="I120" t="s">
        <v>118</v>
      </c>
      <c r="J120" t="s">
        <v>105</v>
      </c>
    </row>
    <row r="121" spans="1:10">
      <c r="A121" t="s">
        <v>165</v>
      </c>
      <c r="B121" t="s">
        <v>15</v>
      </c>
      <c r="C121">
        <v>1</v>
      </c>
      <c r="D121">
        <v>2</v>
      </c>
      <c r="E121" t="s">
        <v>17</v>
      </c>
      <c r="F121" t="s">
        <v>16</v>
      </c>
      <c r="G121">
        <v>29</v>
      </c>
      <c r="H121">
        <v>3399</v>
      </c>
      <c r="I121" t="s">
        <v>108</v>
      </c>
      <c r="J121" t="s">
        <v>105</v>
      </c>
    </row>
    <row r="122" spans="1:10">
      <c r="A122" t="s">
        <v>165</v>
      </c>
      <c r="B122" t="s">
        <v>12</v>
      </c>
      <c r="C122">
        <v>1</v>
      </c>
      <c r="D122">
        <v>1</v>
      </c>
      <c r="E122" t="s">
        <v>42</v>
      </c>
      <c r="F122" t="s">
        <v>13</v>
      </c>
      <c r="G122">
        <v>150</v>
      </c>
      <c r="H122">
        <v>150</v>
      </c>
      <c r="I122" t="s">
        <v>121</v>
      </c>
      <c r="J122" t="s">
        <v>109</v>
      </c>
    </row>
    <row r="123" spans="1:10">
      <c r="A123" t="s">
        <v>165</v>
      </c>
      <c r="B123" t="s">
        <v>24</v>
      </c>
      <c r="C123">
        <v>2</v>
      </c>
      <c r="D123">
        <v>1</v>
      </c>
      <c r="E123" t="s">
        <v>32</v>
      </c>
      <c r="F123" t="s">
        <v>25</v>
      </c>
      <c r="G123">
        <v>3259</v>
      </c>
      <c r="H123">
        <v>209</v>
      </c>
      <c r="I123" t="s">
        <v>128</v>
      </c>
      <c r="J123" t="s">
        <v>109</v>
      </c>
    </row>
    <row r="124" spans="1:10">
      <c r="A124" t="s">
        <v>165</v>
      </c>
      <c r="B124" t="s">
        <v>19</v>
      </c>
      <c r="C124">
        <v>1</v>
      </c>
      <c r="D124">
        <v>1</v>
      </c>
      <c r="E124" t="s">
        <v>37</v>
      </c>
      <c r="F124" t="s">
        <v>20</v>
      </c>
      <c r="G124">
        <v>2637</v>
      </c>
      <c r="H124">
        <v>2335</v>
      </c>
      <c r="I124" t="s">
        <v>116</v>
      </c>
      <c r="J124" t="s">
        <v>109</v>
      </c>
    </row>
    <row r="125" spans="1:10">
      <c r="A125" t="s">
        <v>165</v>
      </c>
      <c r="B125" t="s">
        <v>23</v>
      </c>
      <c r="C125">
        <v>1</v>
      </c>
      <c r="D125">
        <v>1</v>
      </c>
      <c r="E125" t="s">
        <v>35</v>
      </c>
      <c r="F125" t="s">
        <v>18</v>
      </c>
      <c r="G125">
        <v>3399</v>
      </c>
      <c r="H125">
        <v>2926</v>
      </c>
      <c r="I125" t="s">
        <v>113</v>
      </c>
      <c r="J125" t="s">
        <v>109</v>
      </c>
    </row>
    <row r="126" spans="1:10">
      <c r="A126" t="s">
        <v>165</v>
      </c>
      <c r="B126" t="s">
        <v>26</v>
      </c>
      <c r="C126">
        <v>2</v>
      </c>
      <c r="D126">
        <v>1</v>
      </c>
      <c r="E126" t="s">
        <v>9</v>
      </c>
      <c r="F126" t="s">
        <v>18</v>
      </c>
      <c r="G126">
        <v>3399</v>
      </c>
      <c r="H126">
        <v>60</v>
      </c>
      <c r="I126" t="s">
        <v>138</v>
      </c>
      <c r="J126" t="s">
        <v>109</v>
      </c>
    </row>
    <row r="127" spans="1:10">
      <c r="A127" t="s">
        <v>165</v>
      </c>
      <c r="B127" t="s">
        <v>39</v>
      </c>
      <c r="C127">
        <v>0</v>
      </c>
      <c r="D127">
        <v>0</v>
      </c>
      <c r="E127" t="s">
        <v>43</v>
      </c>
      <c r="F127" t="s">
        <v>40</v>
      </c>
      <c r="G127">
        <v>5</v>
      </c>
      <c r="H127">
        <v>150</v>
      </c>
      <c r="I127" t="s">
        <v>120</v>
      </c>
      <c r="J127" t="s">
        <v>107</v>
      </c>
    </row>
    <row r="128" spans="1:10">
      <c r="A128" t="s">
        <v>166</v>
      </c>
      <c r="B128" t="s">
        <v>30</v>
      </c>
      <c r="C128">
        <v>3</v>
      </c>
      <c r="D128">
        <v>1</v>
      </c>
      <c r="E128" t="s">
        <v>42</v>
      </c>
      <c r="F128" t="s">
        <v>31</v>
      </c>
      <c r="G128">
        <v>2750</v>
      </c>
      <c r="H128">
        <v>150</v>
      </c>
      <c r="I128" t="s">
        <v>131</v>
      </c>
      <c r="J128" t="s">
        <v>109</v>
      </c>
    </row>
    <row r="129" spans="1:10">
      <c r="A129" t="s">
        <v>166</v>
      </c>
      <c r="B129" t="s">
        <v>43</v>
      </c>
      <c r="C129">
        <v>0</v>
      </c>
      <c r="D129">
        <v>1</v>
      </c>
      <c r="E129" t="s">
        <v>15</v>
      </c>
      <c r="F129" t="s">
        <v>13</v>
      </c>
      <c r="G129">
        <v>150</v>
      </c>
      <c r="H129">
        <v>29</v>
      </c>
      <c r="I129" t="s">
        <v>126</v>
      </c>
      <c r="J129" t="s">
        <v>109</v>
      </c>
    </row>
    <row r="130" spans="1:10">
      <c r="A130" t="s">
        <v>166</v>
      </c>
      <c r="B130" t="s">
        <v>37</v>
      </c>
      <c r="C130">
        <v>4</v>
      </c>
      <c r="D130">
        <v>1</v>
      </c>
      <c r="E130" t="s">
        <v>24</v>
      </c>
      <c r="F130" t="s">
        <v>38</v>
      </c>
      <c r="G130">
        <v>2335</v>
      </c>
      <c r="H130">
        <v>3259</v>
      </c>
      <c r="I130" t="s">
        <v>129</v>
      </c>
      <c r="J130" t="s">
        <v>109</v>
      </c>
    </row>
    <row r="131" spans="1:10">
      <c r="A131" t="s">
        <v>166</v>
      </c>
      <c r="B131" t="s">
        <v>32</v>
      </c>
      <c r="C131">
        <v>0</v>
      </c>
      <c r="D131">
        <v>2</v>
      </c>
      <c r="E131" t="s">
        <v>9</v>
      </c>
      <c r="F131" t="s">
        <v>33</v>
      </c>
      <c r="G131">
        <v>209</v>
      </c>
      <c r="H131">
        <v>60</v>
      </c>
      <c r="I131" t="s">
        <v>126</v>
      </c>
      <c r="J131" t="s">
        <v>105</v>
      </c>
    </row>
    <row r="132" spans="1:10">
      <c r="A132" t="s">
        <v>166</v>
      </c>
      <c r="B132" t="s">
        <v>17</v>
      </c>
      <c r="C132">
        <v>0</v>
      </c>
      <c r="D132">
        <v>1</v>
      </c>
      <c r="E132" t="s">
        <v>12</v>
      </c>
      <c r="F132" t="s">
        <v>18</v>
      </c>
      <c r="G132">
        <v>3399</v>
      </c>
      <c r="H132">
        <v>150</v>
      </c>
      <c r="I132" t="s">
        <v>167</v>
      </c>
      <c r="J132" t="s">
        <v>109</v>
      </c>
    </row>
    <row r="133" spans="1:10">
      <c r="A133" t="s">
        <v>166</v>
      </c>
      <c r="B133" t="s">
        <v>39</v>
      </c>
      <c r="C133">
        <v>1</v>
      </c>
      <c r="D133">
        <v>0</v>
      </c>
      <c r="E133" t="s">
        <v>23</v>
      </c>
      <c r="F133" t="s">
        <v>40</v>
      </c>
      <c r="G133">
        <v>5</v>
      </c>
      <c r="H133">
        <v>3399</v>
      </c>
      <c r="I133" t="s">
        <v>108</v>
      </c>
      <c r="J133" t="s">
        <v>107</v>
      </c>
    </row>
    <row r="134" spans="1:10">
      <c r="A134" t="s">
        <v>166</v>
      </c>
      <c r="B134" t="s">
        <v>5</v>
      </c>
      <c r="C134">
        <v>2</v>
      </c>
      <c r="D134">
        <v>0</v>
      </c>
      <c r="E134" t="s">
        <v>19</v>
      </c>
      <c r="F134" t="s">
        <v>6</v>
      </c>
      <c r="G134">
        <v>3050</v>
      </c>
      <c r="H134">
        <v>2637</v>
      </c>
      <c r="I134" t="s">
        <v>132</v>
      </c>
      <c r="J134" t="s">
        <v>107</v>
      </c>
    </row>
    <row r="135" spans="1:10">
      <c r="A135" t="s">
        <v>166</v>
      </c>
      <c r="B135" t="s">
        <v>26</v>
      </c>
      <c r="C135">
        <v>2</v>
      </c>
      <c r="D135">
        <v>0</v>
      </c>
      <c r="E135" t="s">
        <v>44</v>
      </c>
      <c r="F135" t="s">
        <v>18</v>
      </c>
      <c r="G135">
        <v>3399</v>
      </c>
      <c r="H135">
        <v>2750</v>
      </c>
      <c r="I135" t="s">
        <v>138</v>
      </c>
      <c r="J135" t="s">
        <v>107</v>
      </c>
    </row>
    <row r="136" spans="1:10">
      <c r="A136" t="s">
        <v>166</v>
      </c>
      <c r="B136" t="s">
        <v>35</v>
      </c>
      <c r="C136">
        <v>1</v>
      </c>
      <c r="D136">
        <v>0</v>
      </c>
      <c r="E136" t="s">
        <v>27</v>
      </c>
      <c r="F136" t="s">
        <v>36</v>
      </c>
      <c r="G136">
        <v>2926</v>
      </c>
      <c r="H136">
        <v>1410</v>
      </c>
      <c r="I136" t="s">
        <v>122</v>
      </c>
      <c r="J136" t="s">
        <v>107</v>
      </c>
    </row>
    <row r="137" spans="1:10">
      <c r="A137" t="s">
        <v>168</v>
      </c>
      <c r="B137" t="s">
        <v>32</v>
      </c>
      <c r="C137">
        <v>1</v>
      </c>
      <c r="D137">
        <v>1</v>
      </c>
      <c r="E137" t="s">
        <v>37</v>
      </c>
      <c r="F137" t="s">
        <v>33</v>
      </c>
      <c r="G137">
        <v>209</v>
      </c>
      <c r="H137">
        <v>2335</v>
      </c>
      <c r="I137" t="s">
        <v>121</v>
      </c>
      <c r="J137" t="s">
        <v>109</v>
      </c>
    </row>
    <row r="138" spans="1:10">
      <c r="A138" t="s">
        <v>168</v>
      </c>
      <c r="B138" t="s">
        <v>27</v>
      </c>
      <c r="C138">
        <v>0</v>
      </c>
      <c r="D138">
        <v>0</v>
      </c>
      <c r="E138" t="s">
        <v>43</v>
      </c>
      <c r="F138" t="s">
        <v>28</v>
      </c>
      <c r="G138">
        <v>1410</v>
      </c>
      <c r="H138">
        <v>150</v>
      </c>
      <c r="I138" t="s">
        <v>169</v>
      </c>
      <c r="J138" t="s">
        <v>107</v>
      </c>
    </row>
    <row r="139" spans="1:10">
      <c r="A139" t="s">
        <v>168</v>
      </c>
      <c r="B139" t="s">
        <v>44</v>
      </c>
      <c r="C139">
        <v>0</v>
      </c>
      <c r="D139">
        <v>0</v>
      </c>
      <c r="E139" t="s">
        <v>39</v>
      </c>
      <c r="F139" t="s">
        <v>31</v>
      </c>
      <c r="G139">
        <v>2750</v>
      </c>
      <c r="H139">
        <v>5</v>
      </c>
      <c r="I139" t="s">
        <v>139</v>
      </c>
      <c r="J139" t="s">
        <v>107</v>
      </c>
    </row>
    <row r="140" spans="1:10">
      <c r="A140" t="s">
        <v>168</v>
      </c>
      <c r="B140" t="s">
        <v>23</v>
      </c>
      <c r="C140">
        <v>1</v>
      </c>
      <c r="D140">
        <v>0</v>
      </c>
      <c r="E140" t="s">
        <v>15</v>
      </c>
      <c r="F140" t="s">
        <v>18</v>
      </c>
      <c r="G140">
        <v>3399</v>
      </c>
      <c r="H140">
        <v>29</v>
      </c>
      <c r="I140" t="s">
        <v>113</v>
      </c>
      <c r="J140" t="s">
        <v>107</v>
      </c>
    </row>
    <row r="141" spans="1:10">
      <c r="A141" t="s">
        <v>168</v>
      </c>
      <c r="B141" t="s">
        <v>12</v>
      </c>
      <c r="C141">
        <v>3</v>
      </c>
      <c r="D141">
        <v>0</v>
      </c>
      <c r="E141" t="s">
        <v>35</v>
      </c>
      <c r="F141" t="s">
        <v>13</v>
      </c>
      <c r="G141">
        <v>150</v>
      </c>
      <c r="H141">
        <v>2926</v>
      </c>
      <c r="I141" t="s">
        <v>143</v>
      </c>
      <c r="J141" t="s">
        <v>107</v>
      </c>
    </row>
    <row r="142" spans="1:10">
      <c r="A142" t="s">
        <v>168</v>
      </c>
      <c r="B142" t="s">
        <v>42</v>
      </c>
      <c r="C142">
        <v>2</v>
      </c>
      <c r="D142">
        <v>1</v>
      </c>
      <c r="E142" t="s">
        <v>5</v>
      </c>
      <c r="F142" t="s">
        <v>13</v>
      </c>
      <c r="G142">
        <v>150</v>
      </c>
      <c r="H142">
        <v>3050</v>
      </c>
      <c r="I142" t="s">
        <v>115</v>
      </c>
      <c r="J142" t="s">
        <v>109</v>
      </c>
    </row>
    <row r="143" spans="1:10">
      <c r="A143" t="s">
        <v>168</v>
      </c>
      <c r="B143" t="s">
        <v>24</v>
      </c>
      <c r="C143">
        <v>2</v>
      </c>
      <c r="D143">
        <v>2</v>
      </c>
      <c r="E143" t="s">
        <v>17</v>
      </c>
      <c r="F143" t="s">
        <v>25</v>
      </c>
      <c r="G143">
        <v>3259</v>
      </c>
      <c r="H143">
        <v>3399</v>
      </c>
      <c r="I143" t="s">
        <v>128</v>
      </c>
      <c r="J143" t="s">
        <v>105</v>
      </c>
    </row>
    <row r="144" spans="1:10">
      <c r="A144" t="s">
        <v>168</v>
      </c>
      <c r="B144" t="s">
        <v>9</v>
      </c>
      <c r="C144">
        <v>1</v>
      </c>
      <c r="D144">
        <v>1</v>
      </c>
      <c r="E144" t="s">
        <v>30</v>
      </c>
      <c r="F144" t="s">
        <v>10</v>
      </c>
      <c r="G144">
        <v>60</v>
      </c>
      <c r="H144">
        <v>2750</v>
      </c>
      <c r="I144" t="s">
        <v>114</v>
      </c>
      <c r="J144" t="s">
        <v>109</v>
      </c>
    </row>
    <row r="145" spans="1:10">
      <c r="A145" t="s">
        <v>168</v>
      </c>
      <c r="B145" t="s">
        <v>19</v>
      </c>
      <c r="C145">
        <v>0</v>
      </c>
      <c r="D145">
        <v>0</v>
      </c>
      <c r="E145" t="s">
        <v>26</v>
      </c>
      <c r="F145" t="s">
        <v>20</v>
      </c>
      <c r="G145">
        <v>2637</v>
      </c>
      <c r="H145">
        <v>3399</v>
      </c>
      <c r="I145" t="s">
        <v>149</v>
      </c>
      <c r="J145" t="s">
        <v>107</v>
      </c>
    </row>
    <row r="146" spans="1:10">
      <c r="A146" t="s">
        <v>170</v>
      </c>
      <c r="B146" t="s">
        <v>15</v>
      </c>
      <c r="C146">
        <v>1</v>
      </c>
      <c r="D146">
        <v>0</v>
      </c>
      <c r="E146" t="s">
        <v>27</v>
      </c>
      <c r="F146" t="s">
        <v>16</v>
      </c>
      <c r="G146">
        <v>29</v>
      </c>
      <c r="H146">
        <v>1410</v>
      </c>
      <c r="I146" t="s">
        <v>108</v>
      </c>
      <c r="J146" t="s">
        <v>107</v>
      </c>
    </row>
    <row r="147" spans="1:10">
      <c r="A147" t="s">
        <v>170</v>
      </c>
      <c r="B147" t="s">
        <v>5</v>
      </c>
      <c r="C147">
        <v>1</v>
      </c>
      <c r="D147">
        <v>2</v>
      </c>
      <c r="E147" t="s">
        <v>23</v>
      </c>
      <c r="F147" t="s">
        <v>6</v>
      </c>
      <c r="G147">
        <v>3050</v>
      </c>
      <c r="H147">
        <v>3399</v>
      </c>
      <c r="I147" t="s">
        <v>119</v>
      </c>
      <c r="J147" t="s">
        <v>105</v>
      </c>
    </row>
    <row r="148" spans="1:10">
      <c r="A148" t="s">
        <v>170</v>
      </c>
      <c r="B148" t="s">
        <v>26</v>
      </c>
      <c r="C148">
        <v>4</v>
      </c>
      <c r="D148">
        <v>1</v>
      </c>
      <c r="E148" t="s">
        <v>32</v>
      </c>
      <c r="F148" t="s">
        <v>18</v>
      </c>
      <c r="G148">
        <v>3399</v>
      </c>
      <c r="H148">
        <v>209</v>
      </c>
      <c r="I148" t="s">
        <v>171</v>
      </c>
      <c r="J148" t="s">
        <v>109</v>
      </c>
    </row>
    <row r="149" spans="1:10">
      <c r="A149" t="s">
        <v>170</v>
      </c>
      <c r="B149" t="s">
        <v>39</v>
      </c>
      <c r="C149">
        <v>1</v>
      </c>
      <c r="D149">
        <v>0</v>
      </c>
      <c r="E149" t="s">
        <v>19</v>
      </c>
      <c r="F149" t="s">
        <v>40</v>
      </c>
      <c r="G149">
        <v>5</v>
      </c>
      <c r="H149">
        <v>2637</v>
      </c>
      <c r="I149" t="s">
        <v>108</v>
      </c>
      <c r="J149" t="s">
        <v>107</v>
      </c>
    </row>
    <row r="150" spans="1:10">
      <c r="A150" t="s">
        <v>170</v>
      </c>
      <c r="B150" t="s">
        <v>43</v>
      </c>
      <c r="C150">
        <v>2</v>
      </c>
      <c r="D150">
        <v>1</v>
      </c>
      <c r="E150" t="s">
        <v>24</v>
      </c>
      <c r="F150" t="s">
        <v>13</v>
      </c>
      <c r="G150">
        <v>150</v>
      </c>
      <c r="H150">
        <v>3259</v>
      </c>
      <c r="I150" t="s">
        <v>115</v>
      </c>
      <c r="J150" t="s">
        <v>109</v>
      </c>
    </row>
    <row r="151" spans="1:10">
      <c r="A151" t="s">
        <v>170</v>
      </c>
      <c r="B151" t="s">
        <v>37</v>
      </c>
      <c r="C151">
        <v>3</v>
      </c>
      <c r="D151">
        <v>1</v>
      </c>
      <c r="E151" t="s">
        <v>9</v>
      </c>
      <c r="F151" t="s">
        <v>38</v>
      </c>
      <c r="G151">
        <v>2335</v>
      </c>
      <c r="H151">
        <v>60</v>
      </c>
      <c r="I151" t="s">
        <v>172</v>
      </c>
      <c r="J151" t="s">
        <v>109</v>
      </c>
    </row>
    <row r="152" spans="1:10">
      <c r="A152" t="s">
        <v>170</v>
      </c>
      <c r="B152" t="s">
        <v>30</v>
      </c>
      <c r="C152">
        <v>1</v>
      </c>
      <c r="D152">
        <v>1</v>
      </c>
      <c r="E152" t="s">
        <v>12</v>
      </c>
      <c r="F152" t="s">
        <v>31</v>
      </c>
      <c r="G152">
        <v>2750</v>
      </c>
      <c r="H152">
        <v>150</v>
      </c>
      <c r="I152" t="s">
        <v>124</v>
      </c>
      <c r="J152" t="s">
        <v>109</v>
      </c>
    </row>
    <row r="153" spans="1:10">
      <c r="A153" t="s">
        <v>170</v>
      </c>
      <c r="B153" t="s">
        <v>35</v>
      </c>
      <c r="C153">
        <v>2</v>
      </c>
      <c r="D153">
        <v>2</v>
      </c>
      <c r="E153" t="s">
        <v>44</v>
      </c>
      <c r="F153" t="s">
        <v>36</v>
      </c>
      <c r="G153">
        <v>2926</v>
      </c>
      <c r="H153">
        <v>2750</v>
      </c>
      <c r="I153" t="s">
        <v>158</v>
      </c>
      <c r="J153" t="s">
        <v>105</v>
      </c>
    </row>
    <row r="154" spans="1:10">
      <c r="A154" t="s">
        <v>170</v>
      </c>
      <c r="B154" t="s">
        <v>17</v>
      </c>
      <c r="C154">
        <v>3</v>
      </c>
      <c r="D154">
        <v>2</v>
      </c>
      <c r="E154" t="s">
        <v>42</v>
      </c>
      <c r="F154" t="s">
        <v>18</v>
      </c>
      <c r="G154">
        <v>3399</v>
      </c>
      <c r="H154">
        <v>150</v>
      </c>
      <c r="I154" t="s">
        <v>134</v>
      </c>
      <c r="J154" t="s">
        <v>105</v>
      </c>
    </row>
  </sheetData>
  <autoFilter ref="A1:J154" xr:uid="{E8E6473D-C757-484F-9FA5-8661D29BA6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3F97-1671-40E2-81D9-BD3BE86FED8A}">
  <dimension ref="A1:N99"/>
  <sheetViews>
    <sheetView workbookViewId="0">
      <pane ySplit="1" topLeftCell="A71" activePane="bottomLeft" state="frozen"/>
      <selection pane="bottomLeft" activeCell="N79" sqref="N79"/>
    </sheetView>
  </sheetViews>
  <sheetFormatPr baseColWidth="10" defaultRowHeight="15"/>
  <cols>
    <col min="1" max="1" width="9.28515625" bestFit="1" customWidth="1"/>
    <col min="2" max="2" width="19.85546875" bestFit="1" customWidth="1"/>
    <col min="3" max="3" width="11.5703125" bestFit="1" customWidth="1"/>
    <col min="4" max="4" width="12.140625" bestFit="1" customWidth="1"/>
    <col min="5" max="5" width="19.85546875" bestFit="1" customWidth="1"/>
    <col min="6" max="6" width="12.28515625" bestFit="1" customWidth="1"/>
    <col min="7" max="7" width="12.5703125" bestFit="1" customWidth="1"/>
    <col min="8" max="8" width="13.140625" bestFit="1" customWidth="1"/>
    <col min="9" max="9" width="14.140625" bestFit="1" customWidth="1"/>
    <col min="10" max="10" width="14.28515625" bestFit="1" customWidth="1"/>
    <col min="11" max="11" width="14.7109375" bestFit="1" customWidth="1"/>
    <col min="12" max="12" width="14.85546875" bestFit="1" customWidth="1"/>
    <col min="13" max="13" width="8.85546875" bestFit="1" customWidth="1"/>
    <col min="14" max="14" width="9.42578125" bestFit="1" customWidth="1"/>
  </cols>
  <sheetData>
    <row r="1" spans="1:14" s="1" customFormat="1">
      <c r="A1" s="1" t="s">
        <v>45</v>
      </c>
      <c r="B1" s="1" t="s">
        <v>47</v>
      </c>
      <c r="C1" s="1" t="s">
        <v>67</v>
      </c>
      <c r="D1" s="1" t="s">
        <v>68</v>
      </c>
      <c r="E1" s="1" t="s">
        <v>48</v>
      </c>
      <c r="F1" s="1" t="s">
        <v>1</v>
      </c>
      <c r="G1" s="1" t="s">
        <v>50</v>
      </c>
      <c r="H1" s="1" t="s">
        <v>51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69</v>
      </c>
      <c r="N1" s="1" t="s">
        <v>70</v>
      </c>
    </row>
    <row r="2" spans="1:14">
      <c r="A2" t="s">
        <v>71</v>
      </c>
      <c r="B2" t="s">
        <v>30</v>
      </c>
      <c r="C2">
        <v>2</v>
      </c>
      <c r="D2">
        <v>2</v>
      </c>
      <c r="E2" t="s">
        <v>32</v>
      </c>
      <c r="F2" t="s">
        <v>31</v>
      </c>
      <c r="G2">
        <f>VLOOKUP(B2,Resultados_Apertura!$B$2:$H$154,6,FALSE)</f>
        <v>2750</v>
      </c>
      <c r="H2">
        <f>VLOOKUP(E2,Resultados_Apertura!$E$2:$H$154,4,FALSE)</f>
        <v>209</v>
      </c>
      <c r="I2" s="10">
        <f>SUMIF(Resultados_Apertura!$B$2:$B$154, Resultados_Clausura!B2, Resultados_Apertura!$C$2:$C$154) / COUNTIF(Resultados_Apertura!$B$2:$B$154, Resultados_Clausura!B2)</f>
        <v>2</v>
      </c>
      <c r="J2" s="10">
        <f>SUMIF(Resultados_Apertura!$B$2:$B$154, Resultados_Clausura!B2, Resultados_Apertura!$D$2:$D$154) / COUNTIF(Resultados_Apertura!$B$2:$B$154, Resultados_Clausura!B2)</f>
        <v>1.625</v>
      </c>
      <c r="K2" s="10">
        <f>SUMIF(Resultados_Apertura!$E$2:$E$154, Resultados_Clausura!E2, Resultados_Apertura!$D$2:$D$154) / COUNTIF(Resultados_Apertura!$E$2:$E$154, Resultados_Clausura!E2)</f>
        <v>1.125</v>
      </c>
      <c r="L2" s="10">
        <f>SUMIF(Resultados_Apertura!$E$2:$E$154, Resultados_Clausura!E2, Resultados_Apertura!$C$2:$C$154) / COUNTIF(Resultados_Apertura!$E$2:$E$154, Resultados_Clausura!E2)</f>
        <v>2.625</v>
      </c>
      <c r="M2" s="9">
        <f>((I2 * L2) / Formulas!$D$2) * IF(H2&gt;=2000, 1.2, IF(H2&gt;=1000, 1.1, 1))</f>
        <v>3.1205357142857144</v>
      </c>
      <c r="N2" s="9">
        <f>((K2 * J2) / Formulas!$D$6) * IF(H2&gt;=2000, 0.75, IF(H2&gt;=1000, 0.85, 1))</f>
        <v>1.6902901785714284</v>
      </c>
    </row>
    <row r="3" spans="1:14">
      <c r="A3" t="s">
        <v>71</v>
      </c>
      <c r="B3" t="s">
        <v>42</v>
      </c>
      <c r="C3">
        <v>1</v>
      </c>
      <c r="D3">
        <v>0</v>
      </c>
      <c r="E3" t="s">
        <v>26</v>
      </c>
      <c r="F3" t="s">
        <v>13</v>
      </c>
      <c r="G3">
        <f>VLOOKUP(B3,Resultados_Apertura!$B$2:$H$154,6,FALSE)</f>
        <v>150</v>
      </c>
      <c r="H3">
        <f>VLOOKUP(E3,Resultados_Apertura!$E$2:$H$154,4,FALSE)</f>
        <v>3399</v>
      </c>
      <c r="I3" s="10">
        <f>SUMIF(Resultados_Apertura!$B$2:$B$154, Resultados_Clausura!B3, Resultados_Apertura!$C$2:$C$154) / COUNTIF(Resultados_Apertura!$B$2:$B$154, Resultados_Clausura!B3)</f>
        <v>2.125</v>
      </c>
      <c r="J3" s="10">
        <f>SUMIF(Resultados_Apertura!$B$2:$B$154, Resultados_Clausura!B3, Resultados_Apertura!$D$2:$D$154) / COUNTIF(Resultados_Apertura!$B$2:$B$154, Resultados_Clausura!B3)</f>
        <v>1.5</v>
      </c>
      <c r="K3" s="10">
        <f>SUMIF(Resultados_Apertura!$E$2:$E$154, Resultados_Clausura!E3, Resultados_Apertura!$D$2:$D$154) / COUNTIF(Resultados_Apertura!$E$2:$E$154, Resultados_Clausura!E3)</f>
        <v>0.5</v>
      </c>
      <c r="L3" s="10">
        <f>SUMIF(Resultados_Apertura!$E$2:$E$154, Resultados_Clausura!E3, Resultados_Apertura!$C$2:$C$154) / COUNTIF(Resultados_Apertura!$E$2:$E$154, Resultados_Clausura!E3)</f>
        <v>1.125</v>
      </c>
      <c r="M3" s="9">
        <f>((I3 * L3) / Formulas!$D$2) * IF(H3&gt;=2000, 1.2, IF(H3&gt;=1000, 1.1, 1))</f>
        <v>1.7051498724489795</v>
      </c>
      <c r="N3" s="9">
        <f>((K3 * J3) / Formulas!$D$6) * IF(H3&gt;=2000, 0.75, IF(H3&gt;=1000, 0.85, 1))</f>
        <v>0.5200892857142857</v>
      </c>
    </row>
    <row r="4" spans="1:14">
      <c r="A4" t="s">
        <v>71</v>
      </c>
      <c r="B4" t="s">
        <v>17</v>
      </c>
      <c r="C4">
        <v>1</v>
      </c>
      <c r="D4">
        <v>3</v>
      </c>
      <c r="E4" t="s">
        <v>37</v>
      </c>
      <c r="F4" t="s">
        <v>18</v>
      </c>
      <c r="G4">
        <f>VLOOKUP(B4,Resultados_Apertura!$B$2:$H$154,6,FALSE)</f>
        <v>3399</v>
      </c>
      <c r="H4">
        <f>VLOOKUP(E4,Resultados_Apertura!$E$2:$H$154,4,FALSE)</f>
        <v>2335</v>
      </c>
      <c r="I4" s="10">
        <f>SUMIF(Resultados_Apertura!$B$2:$B$154, Resultados_Clausura!B4, Resultados_Apertura!$C$2:$C$154) / COUNTIF(Resultados_Apertura!$B$2:$B$154, Resultados_Clausura!B4)</f>
        <v>2.4444444444444446</v>
      </c>
      <c r="J4" s="10">
        <f>SUMIF(Resultados_Apertura!$B$2:$B$154, Resultados_Clausura!B4, Resultados_Apertura!$D$2:$D$154) / COUNTIF(Resultados_Apertura!$B$2:$B$154, Resultados_Clausura!B4)</f>
        <v>1</v>
      </c>
      <c r="K4" s="10">
        <f>SUMIF(Resultados_Apertura!$E$2:$E$154, Resultados_Clausura!E4, Resultados_Apertura!$D$2:$D$154) / COUNTIF(Resultados_Apertura!$E$2:$E$154, Resultados_Clausura!E4)</f>
        <v>1.25</v>
      </c>
      <c r="L4" s="10">
        <f>SUMIF(Resultados_Apertura!$E$2:$E$154, Resultados_Clausura!E4, Resultados_Apertura!$C$2:$C$154) / COUNTIF(Resultados_Apertura!$E$2:$E$154, Resultados_Clausura!E4)</f>
        <v>1.5</v>
      </c>
      <c r="M4" s="9">
        <f>((I4 * L4) / Formulas!$D$2) * IF(H4&gt;=2000, 1.2, IF(H4&gt;=1000, 1.1, 1))</f>
        <v>2.6153061224489798</v>
      </c>
      <c r="N4" s="9">
        <f>((K4 * J4) / Formulas!$D$6) * IF(H4&gt;=2000, 0.75, IF(H4&gt;=1000, 0.85, 1))</f>
        <v>0.86681547619047605</v>
      </c>
    </row>
    <row r="5" spans="1:14">
      <c r="A5" t="s">
        <v>71</v>
      </c>
      <c r="B5" t="s">
        <v>27</v>
      </c>
      <c r="C5">
        <v>2</v>
      </c>
      <c r="D5">
        <v>2</v>
      </c>
      <c r="E5" t="s">
        <v>19</v>
      </c>
      <c r="F5" t="s">
        <v>28</v>
      </c>
      <c r="G5">
        <f>VLOOKUP(B5,Resultados_Apertura!$B$2:$H$154,6,FALSE)</f>
        <v>1410</v>
      </c>
      <c r="H5">
        <f>VLOOKUP(E5,Resultados_Apertura!$E$2:$H$154,4,FALSE)</f>
        <v>2637</v>
      </c>
      <c r="I5" s="10">
        <f>SUMIF(Resultados_Apertura!$B$2:$B$154, Resultados_Clausura!B5, Resultados_Apertura!$C$2:$C$154) / COUNTIF(Resultados_Apertura!$B$2:$B$154, Resultados_Clausura!B5)</f>
        <v>1.625</v>
      </c>
      <c r="J5" s="10">
        <f>SUMIF(Resultados_Apertura!$B$2:$B$154, Resultados_Clausura!B5, Resultados_Apertura!$D$2:$D$154) / COUNTIF(Resultados_Apertura!$B$2:$B$154, Resultados_Clausura!B5)</f>
        <v>1.125</v>
      </c>
      <c r="K5" s="10">
        <f>SUMIF(Resultados_Apertura!$E$2:$E$154, Resultados_Clausura!E5, Resultados_Apertura!$D$2:$D$154) / COUNTIF(Resultados_Apertura!$E$2:$E$154, Resultados_Clausura!E5)</f>
        <v>1.125</v>
      </c>
      <c r="L5" s="10">
        <f>SUMIF(Resultados_Apertura!$E$2:$E$154, Resultados_Clausura!E5, Resultados_Apertura!$C$2:$C$154) / COUNTIF(Resultados_Apertura!$E$2:$E$154, Resultados_Clausura!E5)</f>
        <v>1.875</v>
      </c>
      <c r="M5" s="9">
        <f>((I5 * L5) / Formulas!$D$2) * IF(H5&gt;=2000, 1.2, IF(H5&gt;=1000, 1.1, 1))</f>
        <v>2.1732302295918364</v>
      </c>
      <c r="N5" s="9">
        <f>((K5 * J5) / Formulas!$D$6) * IF(H5&gt;=2000, 0.75, IF(H5&gt;=1000, 0.85, 1))</f>
        <v>0.8776506696428571</v>
      </c>
    </row>
    <row r="6" spans="1:14">
      <c r="A6" t="s">
        <v>71</v>
      </c>
      <c r="B6" t="s">
        <v>5</v>
      </c>
      <c r="C6">
        <v>1</v>
      </c>
      <c r="D6">
        <v>2</v>
      </c>
      <c r="E6" t="s">
        <v>43</v>
      </c>
      <c r="F6" t="s">
        <v>6</v>
      </c>
      <c r="G6">
        <f>VLOOKUP(B6,Resultados_Apertura!$B$2:$H$154,6,FALSE)</f>
        <v>3050</v>
      </c>
      <c r="H6">
        <f>VLOOKUP(E6,Resultados_Apertura!$E$2:$H$154,4,FALSE)</f>
        <v>150</v>
      </c>
      <c r="I6" s="10">
        <f>SUMIF(Resultados_Apertura!$B$2:$B$154, Resultados_Clausura!B6, Resultados_Apertura!$C$2:$C$154) / COUNTIF(Resultados_Apertura!$B$2:$B$154, Resultados_Clausura!B6)</f>
        <v>1.5555555555555556</v>
      </c>
      <c r="J6" s="10">
        <f>SUMIF(Resultados_Apertura!$B$2:$B$154, Resultados_Clausura!B6, Resultados_Apertura!$D$2:$D$154) / COUNTIF(Resultados_Apertura!$B$2:$B$154, Resultados_Clausura!B6)</f>
        <v>1</v>
      </c>
      <c r="K6" s="10">
        <f>SUMIF(Resultados_Apertura!$E$2:$E$154, Resultados_Clausura!E6, Resultados_Apertura!$D$2:$D$154) / COUNTIF(Resultados_Apertura!$E$2:$E$154, Resultados_Clausura!E6)</f>
        <v>1.125</v>
      </c>
      <c r="L6" s="10">
        <f>SUMIF(Resultados_Apertura!$E$2:$E$154, Resultados_Clausura!E6, Resultados_Apertura!$C$2:$C$154) / COUNTIF(Resultados_Apertura!$E$2:$E$154, Resultados_Clausura!E6)</f>
        <v>1.125</v>
      </c>
      <c r="M6" s="9">
        <f>((I6 * L6) / Formulas!$D$2) * IF(H6&gt;=2000, 1.2, IF(H6&gt;=1000, 1.1, 1))</f>
        <v>1.0401785714285714</v>
      </c>
      <c r="N6" s="9">
        <f>((K6 * J6) / Formulas!$D$6) * IF(H6&gt;=2000, 0.75, IF(H6&gt;=1000, 0.85, 1))</f>
        <v>1.0401785714285714</v>
      </c>
    </row>
    <row r="7" spans="1:14">
      <c r="A7" t="s">
        <v>71</v>
      </c>
      <c r="B7" t="s">
        <v>15</v>
      </c>
      <c r="C7">
        <v>3</v>
      </c>
      <c r="D7">
        <v>1</v>
      </c>
      <c r="E7" t="s">
        <v>44</v>
      </c>
      <c r="F7" t="s">
        <v>10</v>
      </c>
      <c r="G7">
        <f>VLOOKUP(B7,Resultados_Apertura!$B$2:$H$154,6,FALSE)</f>
        <v>29</v>
      </c>
      <c r="H7">
        <f>VLOOKUP(E7,Resultados_Apertura!$E$2:$H$154,4,FALSE)</f>
        <v>2750</v>
      </c>
      <c r="I7" s="10">
        <f>SUMIF(Resultados_Apertura!$B$2:$B$154, Resultados_Clausura!B7, Resultados_Apertura!$C$2:$C$154) / COUNTIF(Resultados_Apertura!$B$2:$B$154, Resultados_Clausura!B7)</f>
        <v>1</v>
      </c>
      <c r="J7" s="10">
        <f>SUMIF(Resultados_Apertura!$B$2:$B$154, Resultados_Clausura!B7, Resultados_Apertura!$D$2:$D$154) / COUNTIF(Resultados_Apertura!$B$2:$B$154, Resultados_Clausura!B7)</f>
        <v>0.75</v>
      </c>
      <c r="K7" s="10">
        <f>SUMIF(Resultados_Apertura!$E$2:$E$154, Resultados_Clausura!E7, Resultados_Apertura!$D$2:$D$154) / COUNTIF(Resultados_Apertura!$E$2:$E$154, Resultados_Clausura!E7)</f>
        <v>1.3333333333333333</v>
      </c>
      <c r="L7" s="10">
        <f>SUMIF(Resultados_Apertura!$E$2:$E$154, Resultados_Clausura!E7, Resultados_Apertura!$C$2:$C$154) / COUNTIF(Resultados_Apertura!$E$2:$E$154, Resultados_Clausura!E7)</f>
        <v>2</v>
      </c>
      <c r="M7" s="9">
        <f>((I7 * L7) / Formulas!$D$2) * IF(H7&gt;=2000, 1.2, IF(H7&gt;=1000, 1.1, 1))</f>
        <v>1.4265306122448977</v>
      </c>
      <c r="N7" s="9">
        <f>((K7 * J7) / Formulas!$D$6) * IF(H7&gt;=2000, 0.75, IF(H7&gt;=1000, 0.85, 1))</f>
        <v>0.69345238095238093</v>
      </c>
    </row>
    <row r="8" spans="1:14">
      <c r="A8" t="s">
        <v>71</v>
      </c>
      <c r="B8" t="s">
        <v>23</v>
      </c>
      <c r="C8">
        <v>4</v>
      </c>
      <c r="D8">
        <v>1</v>
      </c>
      <c r="E8" t="s">
        <v>9</v>
      </c>
      <c r="F8" t="s">
        <v>18</v>
      </c>
      <c r="G8">
        <f>VLOOKUP(B8,Resultados_Apertura!$B$2:$H$154,6,FALSE)</f>
        <v>3399</v>
      </c>
      <c r="H8">
        <f>VLOOKUP(E8,Resultados_Apertura!$E$2:$H$154,4,FALSE)</f>
        <v>60</v>
      </c>
      <c r="I8" s="10">
        <f>SUMIF(Resultados_Apertura!$B$2:$B$154, Resultados_Clausura!B8, Resultados_Apertura!$C$2:$C$154) / COUNTIF(Resultados_Apertura!$B$2:$B$154, Resultados_Clausura!B8)</f>
        <v>1.375</v>
      </c>
      <c r="J8" s="10">
        <f>SUMIF(Resultados_Apertura!$B$2:$B$154, Resultados_Clausura!B8, Resultados_Apertura!$D$2:$D$154) / COUNTIF(Resultados_Apertura!$B$2:$B$154, Resultados_Clausura!B8)</f>
        <v>0.75</v>
      </c>
      <c r="K8" s="10">
        <f>SUMIF(Resultados_Apertura!$E$2:$E$154, Resultados_Clausura!E8, Resultados_Apertura!$D$2:$D$154) / COUNTIF(Resultados_Apertura!$E$2:$E$154, Resultados_Clausura!E8)</f>
        <v>1</v>
      </c>
      <c r="L8" s="10">
        <f>SUMIF(Resultados_Apertura!$E$2:$E$154, Resultados_Clausura!E8, Resultados_Apertura!$C$2:$C$154) / COUNTIF(Resultados_Apertura!$E$2:$E$154, Resultados_Clausura!E8)</f>
        <v>1.4444444444444444</v>
      </c>
      <c r="M8" s="9">
        <f>((I8 * L8) / Formulas!$D$2) * IF(H8&gt;=2000, 1.2, IF(H8&gt;=1000, 1.1, 1))</f>
        <v>1.1805201247165533</v>
      </c>
      <c r="N8" s="9">
        <f>((K8 * J8) / Formulas!$D$6) * IF(H8&gt;=2000, 0.75, IF(H8&gt;=1000, 0.85, 1))</f>
        <v>0.69345238095238093</v>
      </c>
    </row>
    <row r="9" spans="1:14">
      <c r="A9" t="s">
        <v>71</v>
      </c>
      <c r="B9" t="s">
        <v>35</v>
      </c>
      <c r="C9">
        <v>1</v>
      </c>
      <c r="D9">
        <v>0</v>
      </c>
      <c r="E9" t="s">
        <v>39</v>
      </c>
      <c r="F9" t="s">
        <v>36</v>
      </c>
      <c r="G9">
        <f>VLOOKUP(B9,Resultados_Apertura!$B$2:$H$154,6,FALSE)</f>
        <v>2926</v>
      </c>
      <c r="H9">
        <f>VLOOKUP(E9,Resultados_Apertura!$E$2:$H$154,4,FALSE)</f>
        <v>5</v>
      </c>
      <c r="I9" s="10">
        <f>SUMIF(Resultados_Apertura!$B$2:$B$154, Resultados_Clausura!B9, Resultados_Apertura!$C$2:$C$154) / COUNTIF(Resultados_Apertura!$B$2:$B$154, Resultados_Clausura!B9)</f>
        <v>1.7777777777777777</v>
      </c>
      <c r="J9" s="10">
        <f>SUMIF(Resultados_Apertura!$B$2:$B$154, Resultados_Clausura!B9, Resultados_Apertura!$D$2:$D$154) / COUNTIF(Resultados_Apertura!$B$2:$B$154, Resultados_Clausura!B9)</f>
        <v>0.88888888888888884</v>
      </c>
      <c r="K9" s="10">
        <f>SUMIF(Resultados_Apertura!$E$2:$E$154, Resultados_Clausura!E9, Resultados_Apertura!$D$2:$D$154) / COUNTIF(Resultados_Apertura!$E$2:$E$154, Resultados_Clausura!E9)</f>
        <v>0.75</v>
      </c>
      <c r="L9" s="10">
        <f>SUMIF(Resultados_Apertura!$E$2:$E$154, Resultados_Clausura!E9, Resultados_Apertura!$C$2:$C$154) / COUNTIF(Resultados_Apertura!$E$2:$E$154, Resultados_Clausura!E9)</f>
        <v>1.75</v>
      </c>
      <c r="M9" s="9">
        <f>((I9 * L9) / Formulas!$D$2) * IF(H9&gt;=2000, 1.2, IF(H9&gt;=1000, 1.1, 1))</f>
        <v>1.8492063492063489</v>
      </c>
      <c r="N9" s="9">
        <f>((K9 * J9) / Formulas!$D$6) * IF(H9&gt;=2000, 0.75, IF(H9&gt;=1000, 0.85, 1))</f>
        <v>0.61640211640211628</v>
      </c>
    </row>
    <row r="10" spans="1:14">
      <c r="A10" t="s">
        <v>71</v>
      </c>
      <c r="B10" t="s">
        <v>12</v>
      </c>
      <c r="C10">
        <v>2</v>
      </c>
      <c r="D10">
        <v>1</v>
      </c>
      <c r="E10" t="s">
        <v>24</v>
      </c>
      <c r="F10" t="s">
        <v>13</v>
      </c>
      <c r="G10">
        <f>VLOOKUP(B10,Resultados_Apertura!$B$2:$H$154,6,FALSE)</f>
        <v>150</v>
      </c>
      <c r="H10">
        <f>VLOOKUP(E10,Resultados_Apertura!$E$2:$H$154,4,FALSE)</f>
        <v>3259</v>
      </c>
      <c r="I10" s="10">
        <f>SUMIF(Resultados_Apertura!$B$2:$B$154, Resultados_Clausura!B10, Resultados_Apertura!$C$2:$C$154) / COUNTIF(Resultados_Apertura!$B$2:$B$154, Resultados_Clausura!B10)</f>
        <v>2.75</v>
      </c>
      <c r="J10" s="10">
        <f>SUMIF(Resultados_Apertura!$B$2:$B$154, Resultados_Clausura!B10, Resultados_Apertura!$D$2:$D$154) / COUNTIF(Resultados_Apertura!$B$2:$B$154, Resultados_Clausura!B10)</f>
        <v>0.5</v>
      </c>
      <c r="K10" s="10">
        <f>SUMIF(Resultados_Apertura!$E$2:$E$154, Resultados_Clausura!E10, Resultados_Apertura!$D$2:$D$154) / COUNTIF(Resultados_Apertura!$E$2:$E$154, Resultados_Clausura!E10)</f>
        <v>1</v>
      </c>
      <c r="L10" s="10">
        <f>SUMIF(Resultados_Apertura!$E$2:$E$154, Resultados_Clausura!E10, Resultados_Apertura!$C$2:$C$154) / COUNTIF(Resultados_Apertura!$E$2:$E$154, Resultados_Clausura!E10)</f>
        <v>2.4444444444444446</v>
      </c>
      <c r="M10" s="9">
        <f>((I10 * L10) / Formulas!$D$2) * IF(H10&gt;=2000, 1.2, IF(H10&gt;=1000, 1.1, 1))</f>
        <v>4.7947278911564633</v>
      </c>
      <c r="N10" s="9">
        <f>((K10 * J10) / Formulas!$D$6) * IF(H10&gt;=2000, 0.75, IF(H10&gt;=1000, 0.85, 1))</f>
        <v>0.34672619047619047</v>
      </c>
    </row>
    <row r="11" spans="1:14">
      <c r="A11" t="s">
        <v>72</v>
      </c>
      <c r="B11" t="s">
        <v>9</v>
      </c>
      <c r="C11">
        <v>3</v>
      </c>
      <c r="D11">
        <v>1</v>
      </c>
      <c r="E11" t="s">
        <v>35</v>
      </c>
      <c r="F11" t="s">
        <v>10</v>
      </c>
      <c r="G11">
        <f>VLOOKUP(B11,Resultados_Apertura!$B$2:$H$154,6,FALSE)</f>
        <v>60</v>
      </c>
      <c r="H11">
        <f>VLOOKUP(E11,Resultados_Apertura!$E$2:$H$154,4,FALSE)</f>
        <v>2926</v>
      </c>
      <c r="I11" s="10">
        <f>(SUMIF(Resultados_Apertura!$B$2:$B$154, B10, Resultados_Apertura!$C$2:$C$154) + SUMIF($B$2:$B9, B10, $C$2:$C9)) / (COUNTIF(Resultados_Apertura!$B$2:$B$154, B10) + COUNTIF($B$2:$B9, B10))</f>
        <v>2.75</v>
      </c>
      <c r="J11" s="10">
        <f>(SUMIF(Resultados_Apertura!$B$2:$B$154, B10, Resultados_Apertura!$D$2:$D$154) + SUMIF($B$2:$B9, B10, $D$2:$D9)) / (COUNTIF(Resultados_Apertura!$B$2:$B$154, B10) + COUNTIF($B$2:$B9, B10))</f>
        <v>0.5</v>
      </c>
      <c r="K11" s="10">
        <f>(SUMIF(Resultados_Apertura!$E$2:$E$154, E10, Resultados_Apertura!$D$2:$D$154) + SUMIF($E$2:$E9, E10, $D$2:$D9)) / (COUNTIF(Resultados_Apertura!$E$2:$E$154, E10) + COUNTIF($E$2:$E9, E10))</f>
        <v>1</v>
      </c>
      <c r="L11" s="10">
        <f>(SUMIF(Resultados_Apertura!$E$2:$E$154, E10, Resultados_Apertura!$C$2:$C$154) + SUMIF($E$2:$E9, E10, $C$2:$C9)) / (COUNTIF(Resultados_Apertura!$E$2:$E$154, E10) + COUNTIF($E$2:$E9, E10))</f>
        <v>2.4444444444444446</v>
      </c>
      <c r="M11" s="9">
        <f>((I11 * L11) / Formulas!$D$2) * IF(H11&gt;=2000, 1.2, IF(H11&gt;=1000, 1.1, 1))</f>
        <v>4.7947278911564633</v>
      </c>
      <c r="N11" s="9">
        <f>((K11 * J11) / Formulas!$D$6) * IF(H11&gt;=2000, 0.75, IF(H11&gt;=1000, 0.85, 1))</f>
        <v>0.34672619047619047</v>
      </c>
    </row>
    <row r="12" spans="1:14">
      <c r="A12" t="s">
        <v>72</v>
      </c>
      <c r="B12" t="s">
        <v>43</v>
      </c>
      <c r="C12">
        <v>2</v>
      </c>
      <c r="D12">
        <v>1</v>
      </c>
      <c r="E12" t="s">
        <v>23</v>
      </c>
      <c r="F12" t="s">
        <v>13</v>
      </c>
      <c r="G12">
        <f>VLOOKUP(B12,Resultados_Apertura!$B$2:$H$154,6,FALSE)</f>
        <v>150</v>
      </c>
      <c r="H12">
        <f>VLOOKUP(E12,Resultados_Apertura!$E$2:$H$154,4,FALSE)</f>
        <v>3399</v>
      </c>
      <c r="I12" s="10">
        <f>(SUMIF(Resultados_Apertura!$B$2:$B$154, B11, Resultados_Apertura!$C$2:$C$154) + SUMIF($B$2:$B10, B11, $C$2:$C10)) / (COUNTIF(Resultados_Apertura!$B$2:$B$154, B11) + COUNTIF($B$2:$B10, B11))</f>
        <v>1.375</v>
      </c>
      <c r="J12" s="10">
        <f>(SUMIF(Resultados_Apertura!$B$2:$B$154, B11, Resultados_Apertura!$D$2:$D$154) + SUMIF($B$2:$B10, B11, $D$2:$D10)) / (COUNTIF(Resultados_Apertura!$B$2:$B$154, B11) + COUNTIF($B$2:$B10, B11))</f>
        <v>0.625</v>
      </c>
      <c r="K12" s="10">
        <f>(SUMIF(Resultados_Apertura!$E$2:$E$154, E11, Resultados_Apertura!$D$2:$D$154) + SUMIF($E$2:$E10, E11, $D$2:$D10)) / (COUNTIF(Resultados_Apertura!$E$2:$E$154, E11) + COUNTIF($E$2:$E10, E11))</f>
        <v>1.125</v>
      </c>
      <c r="L12" s="10">
        <f>(SUMIF(Resultados_Apertura!$E$2:$E$154, E11, Resultados_Apertura!$C$2:$C$154) + SUMIF($E$2:$E10, E11, $C$2:$C10)) / (COUNTIF(Resultados_Apertura!$E$2:$E$154, E11) + COUNTIF($E$2:$E10, E11))</f>
        <v>1.625</v>
      </c>
      <c r="M12" s="9">
        <f>((I12 * L12) / Formulas!$D$2) * IF(H12&gt;=2000, 1.2, IF(H12&gt;=1000, 1.1, 1))</f>
        <v>1.5937021683673469</v>
      </c>
      <c r="N12" s="9">
        <f>((K12 * J12) / Formulas!$D$6) * IF(H12&gt;=2000, 0.75, IF(H12&gt;=1000, 0.85, 1))</f>
        <v>0.48758370535714279</v>
      </c>
    </row>
    <row r="13" spans="1:14">
      <c r="A13" t="s">
        <v>72</v>
      </c>
      <c r="B13" t="s">
        <v>39</v>
      </c>
      <c r="C13">
        <v>2</v>
      </c>
      <c r="D13">
        <v>0</v>
      </c>
      <c r="E13" t="s">
        <v>5</v>
      </c>
      <c r="F13" t="s">
        <v>40</v>
      </c>
      <c r="G13">
        <f>VLOOKUP(B13,Resultados_Apertura!$B$2:$H$154,6,FALSE)</f>
        <v>5</v>
      </c>
      <c r="H13">
        <f>VLOOKUP(E13,Resultados_Apertura!$E$2:$H$154,4,FALSE)</f>
        <v>3050</v>
      </c>
      <c r="I13" s="10">
        <f>(SUMIF(Resultados_Apertura!$B$2:$B$154, B12, Resultados_Apertura!$C$2:$C$154) + SUMIF($B$2:$B11, B12, $C$2:$C11)) / (COUNTIF(Resultados_Apertura!$B$2:$B$154, B12) + COUNTIF($B$2:$B11, B12))</f>
        <v>1.6666666666666667</v>
      </c>
      <c r="J13" s="10">
        <f>(SUMIF(Resultados_Apertura!$B$2:$B$154, B12, Resultados_Apertura!$D$2:$D$154) + SUMIF($B$2:$B11, B12, $D$2:$D11)) / (COUNTIF(Resultados_Apertura!$B$2:$B$154, B12) + COUNTIF($B$2:$B11, B12))</f>
        <v>0.66666666666666663</v>
      </c>
      <c r="K13" s="10">
        <f>(SUMIF(Resultados_Apertura!$E$2:$E$154, E12, Resultados_Apertura!$D$2:$D$154) + SUMIF($E$2:$E11, E12, $D$2:$D11)) / (COUNTIF(Resultados_Apertura!$E$2:$E$154, E12) + COUNTIF($E$2:$E11, E12))</f>
        <v>1.1111111111111112</v>
      </c>
      <c r="L13" s="10">
        <f>(SUMIF(Resultados_Apertura!$E$2:$E$154, E12, Resultados_Apertura!$C$2:$C$154) + SUMIF($E$2:$E11, E12, $C$2:$C11)) / (COUNTIF(Resultados_Apertura!$E$2:$E$154, E12) + COUNTIF($E$2:$E11, E12))</f>
        <v>2</v>
      </c>
      <c r="M13" s="9">
        <f>((I13 * L13) / Formulas!$D$2) * IF(H13&gt;=2000, 1.2, IF(H13&gt;=1000, 1.1, 1))</f>
        <v>2.3775510204081631</v>
      </c>
      <c r="N13" s="9">
        <f>((K13 * J13) / Formulas!$D$6) * IF(H13&gt;=2000, 0.75, IF(H13&gt;=1000, 0.85, 1))</f>
        <v>0.5136684303350969</v>
      </c>
    </row>
    <row r="14" spans="1:14">
      <c r="A14" t="s">
        <v>72</v>
      </c>
      <c r="B14" t="s">
        <v>24</v>
      </c>
      <c r="C14">
        <v>2</v>
      </c>
      <c r="D14">
        <v>0</v>
      </c>
      <c r="E14" t="s">
        <v>15</v>
      </c>
      <c r="F14" t="s">
        <v>25</v>
      </c>
      <c r="G14">
        <f>VLOOKUP(B14,Resultados_Apertura!$B$2:$H$154,6,FALSE)</f>
        <v>3259</v>
      </c>
      <c r="H14">
        <f>VLOOKUP(E14,Resultados_Apertura!$E$2:$H$154,4,FALSE)</f>
        <v>29</v>
      </c>
      <c r="I14" s="10">
        <f>(SUMIF(Resultados_Apertura!$B$2:$B$154, B13, Resultados_Apertura!$C$2:$C$154) + SUMIF($B$2:$B12, B13, $C$2:$C12)) / (COUNTIF(Resultados_Apertura!$B$2:$B$154, B13) + COUNTIF($B$2:$B12, B13))</f>
        <v>1</v>
      </c>
      <c r="J14" s="10">
        <f>(SUMIF(Resultados_Apertura!$B$2:$B$154, B13, Resultados_Apertura!$D$2:$D$154) + SUMIF($B$2:$B12, B13, $D$2:$D12)) / (COUNTIF(Resultados_Apertura!$B$2:$B$154, B13) + COUNTIF($B$2:$B12, B13))</f>
        <v>0.55555555555555558</v>
      </c>
      <c r="K14" s="10">
        <f>(SUMIF(Resultados_Apertura!$E$2:$E$154, E13, Resultados_Apertura!$D$2:$D$154) + SUMIF($E$2:$E12, E13, $D$2:$D12)) / (COUNTIF(Resultados_Apertura!$E$2:$E$154, E13) + COUNTIF($E$2:$E12, E13))</f>
        <v>1</v>
      </c>
      <c r="L14" s="10">
        <f>(SUMIF(Resultados_Apertura!$E$2:$E$154, E13, Resultados_Apertura!$C$2:$C$154) + SUMIF($E$2:$E12, E13, $C$2:$C12)) / (COUNTIF(Resultados_Apertura!$E$2:$E$154, E13) + COUNTIF($E$2:$E12, E13))</f>
        <v>1.5</v>
      </c>
      <c r="M14" s="9">
        <f>((I14 * L14) / Formulas!$D$2) * IF(H14&gt;=2000, 1.2, IF(H14&gt;=1000, 1.1, 1))</f>
        <v>0.89158163265306123</v>
      </c>
      <c r="N14" s="9">
        <f>((K14 * J14) / Formulas!$D$6) * IF(H14&gt;=2000, 0.75, IF(H14&gt;=1000, 0.85, 1))</f>
        <v>0.51366843033509701</v>
      </c>
    </row>
    <row r="15" spans="1:14">
      <c r="A15" t="s">
        <v>72</v>
      </c>
      <c r="B15" t="s">
        <v>32</v>
      </c>
      <c r="C15">
        <v>2</v>
      </c>
      <c r="D15">
        <v>0</v>
      </c>
      <c r="E15" t="s">
        <v>17</v>
      </c>
      <c r="F15" t="s">
        <v>33</v>
      </c>
      <c r="G15">
        <f>VLOOKUP(B15,Resultados_Apertura!$B$2:$H$154,6,FALSE)</f>
        <v>209</v>
      </c>
      <c r="H15">
        <f>VLOOKUP(E15,Resultados_Apertura!$E$2:$H$154,4,FALSE)</f>
        <v>3399</v>
      </c>
      <c r="I15" s="10">
        <f>(SUMIF(Resultados_Apertura!$B$2:$B$154, B14, Resultados_Apertura!$C$2:$C$154) + SUMIF($B$2:$B13, B14, $C$2:$C13)) / (COUNTIF(Resultados_Apertura!$B$2:$B$154, B14) + COUNTIF($B$2:$B13, B14))</f>
        <v>1.5</v>
      </c>
      <c r="J15" s="10">
        <f>(SUMIF(Resultados_Apertura!$B$2:$B$154, B14, Resultados_Apertura!$D$2:$D$154) + SUMIF($B$2:$B13, B14, $D$2:$D13)) / (COUNTIF(Resultados_Apertura!$B$2:$B$154, B14) + COUNTIF($B$2:$B13, B14))</f>
        <v>1.125</v>
      </c>
      <c r="K15" s="10">
        <f>(SUMIF(Resultados_Apertura!$E$2:$E$154, E14, Resultados_Apertura!$D$2:$D$154) + SUMIF($E$2:$E13, E14, $D$2:$D13)) / (COUNTIF(Resultados_Apertura!$E$2:$E$154, E14) + COUNTIF($E$2:$E13, E14))</f>
        <v>0.44444444444444442</v>
      </c>
      <c r="L15" s="10">
        <f>(SUMIF(Resultados_Apertura!$E$2:$E$154, E14, Resultados_Apertura!$C$2:$C$154) + SUMIF($E$2:$E13, E14, $C$2:$C13)) / (COUNTIF(Resultados_Apertura!$E$2:$E$154, E14) + COUNTIF($E$2:$E13, E14))</f>
        <v>1.3333333333333333</v>
      </c>
      <c r="M15" s="9">
        <f>((I15 * L15) / Formulas!$D$2) * IF(H15&gt;=2000, 1.2, IF(H15&gt;=1000, 1.1, 1))</f>
        <v>1.4265306122448977</v>
      </c>
      <c r="N15" s="9">
        <f>((K15 * J15) / Formulas!$D$6) * IF(H15&gt;=2000, 0.75, IF(H15&gt;=1000, 0.85, 1))</f>
        <v>0.34672619047619047</v>
      </c>
    </row>
    <row r="16" spans="1:14">
      <c r="A16" t="s">
        <v>72</v>
      </c>
      <c r="B16" t="s">
        <v>37</v>
      </c>
      <c r="C16">
        <v>2</v>
      </c>
      <c r="D16">
        <v>1</v>
      </c>
      <c r="E16" t="s">
        <v>42</v>
      </c>
      <c r="F16" t="s">
        <v>38</v>
      </c>
      <c r="G16">
        <f>VLOOKUP(B16,Resultados_Apertura!$B$2:$H$154,6,FALSE)</f>
        <v>2335</v>
      </c>
      <c r="H16">
        <f>VLOOKUP(E16,Resultados_Apertura!$E$2:$H$154,4,FALSE)</f>
        <v>150</v>
      </c>
      <c r="I16" s="10">
        <f>(SUMIF(Resultados_Apertura!$B$2:$B$154, B15, Resultados_Apertura!$C$2:$C$154) + SUMIF($B$2:$B14, B15, $C$2:$C14)) / (COUNTIF(Resultados_Apertura!$B$2:$B$154, B15) + COUNTIF($B$2:$B14, B15))</f>
        <v>1.4444444444444444</v>
      </c>
      <c r="J16" s="10">
        <f>(SUMIF(Resultados_Apertura!$B$2:$B$154, B15, Resultados_Apertura!$D$2:$D$154) + SUMIF($B$2:$B14, B15, $D$2:$D14)) / (COUNTIF(Resultados_Apertura!$B$2:$B$154, B15) + COUNTIF($B$2:$B14, B15))</f>
        <v>2.1111111111111112</v>
      </c>
      <c r="K16" s="10">
        <f>(SUMIF(Resultados_Apertura!$E$2:$E$154, E15, Resultados_Apertura!$D$2:$D$154) + SUMIF($E$2:$E14, E15, $D$2:$D14)) / (COUNTIF(Resultados_Apertura!$E$2:$E$154, E15) + COUNTIF($E$2:$E14, E15))</f>
        <v>1.5</v>
      </c>
      <c r="L16" s="10">
        <f>(SUMIF(Resultados_Apertura!$E$2:$E$154, E15, Resultados_Apertura!$C$2:$C$154) + SUMIF($E$2:$E14, E15, $C$2:$C14)) / (COUNTIF(Resultados_Apertura!$E$2:$E$154, E15) + COUNTIF($E$2:$E14, E15))</f>
        <v>1.625</v>
      </c>
      <c r="M16" s="9">
        <f>((I16 * L16) / Formulas!$D$2) * IF(H16&gt;=2000, 1.2, IF(H16&gt;=1000, 1.1, 1))</f>
        <v>1.3951601473922903</v>
      </c>
      <c r="N16" s="9">
        <f>((K16 * J16) / Formulas!$D$6) * IF(H16&gt;=2000, 0.75, IF(H16&gt;=1000, 0.85, 1))</f>
        <v>2.927910052910053</v>
      </c>
    </row>
    <row r="17" spans="1:14">
      <c r="A17" t="s">
        <v>72</v>
      </c>
      <c r="B17" t="s">
        <v>44</v>
      </c>
      <c r="C17">
        <v>0</v>
      </c>
      <c r="D17">
        <v>0</v>
      </c>
      <c r="E17" t="s">
        <v>27</v>
      </c>
      <c r="F17" t="s">
        <v>31</v>
      </c>
      <c r="G17">
        <f>VLOOKUP(B17,Resultados_Apertura!$B$2:$H$154,6,FALSE)</f>
        <v>2750</v>
      </c>
      <c r="H17">
        <f>VLOOKUP(E17,Resultados_Apertura!$E$2:$H$154,4,FALSE)</f>
        <v>1410</v>
      </c>
      <c r="I17" s="10">
        <f>(SUMIF(Resultados_Apertura!$B$2:$B$154, B16, Resultados_Apertura!$C$2:$C$154) + SUMIF($B$2:$B15, B16, $C$2:$C15)) / (COUNTIF(Resultados_Apertura!$B$2:$B$154, B16) + COUNTIF($B$2:$B15, B16))</f>
        <v>2.1111111111111112</v>
      </c>
      <c r="J17" s="10">
        <f>(SUMIF(Resultados_Apertura!$B$2:$B$154, B16, Resultados_Apertura!$D$2:$D$154) + SUMIF($B$2:$B15, B16, $D$2:$D15)) / (COUNTIF(Resultados_Apertura!$B$2:$B$154, B16) + COUNTIF($B$2:$B15, B16))</f>
        <v>0.88888888888888884</v>
      </c>
      <c r="K17" s="10">
        <f>(SUMIF(Resultados_Apertura!$E$2:$E$154, E16, Resultados_Apertura!$D$2:$D$154) + SUMIF($E$2:$E15, E16, $D$2:$D15)) / (COUNTIF(Resultados_Apertura!$E$2:$E$154, E16) + COUNTIF($E$2:$E15, E16))</f>
        <v>1.2222222222222223</v>
      </c>
      <c r="L17" s="10">
        <f>(SUMIF(Resultados_Apertura!$E$2:$E$154, E16, Resultados_Apertura!$C$2:$C$154) + SUMIF($E$2:$E15, E16, $C$2:$C15)) / (COUNTIF(Resultados_Apertura!$E$2:$E$154, E16) + COUNTIF($E$2:$E15, E16))</f>
        <v>2</v>
      </c>
      <c r="M17" s="9">
        <f>((I17 * L17) / Formulas!$D$2) * IF(H17&gt;=2000, 1.2, IF(H17&gt;=1000, 1.1, 1))</f>
        <v>2.7606009070294788</v>
      </c>
      <c r="N17" s="9">
        <f>((K17 * J17) / Formulas!$D$6) * IF(H17&gt;=2000, 0.75, IF(H17&gt;=1000, 0.85, 1))</f>
        <v>0.85383107975700556</v>
      </c>
    </row>
    <row r="18" spans="1:14">
      <c r="A18" t="s">
        <v>72</v>
      </c>
      <c r="B18" t="s">
        <v>19</v>
      </c>
      <c r="C18">
        <v>2</v>
      </c>
      <c r="D18">
        <v>2</v>
      </c>
      <c r="E18" t="s">
        <v>12</v>
      </c>
      <c r="F18" t="s">
        <v>20</v>
      </c>
      <c r="G18">
        <f>VLOOKUP(B18,Resultados_Apertura!$B$2:$H$154,6,FALSE)</f>
        <v>2637</v>
      </c>
      <c r="H18">
        <f>VLOOKUP(E18,Resultados_Apertura!$E$2:$H$154,4,FALSE)</f>
        <v>150</v>
      </c>
      <c r="I18" s="10">
        <f>(SUMIF(Resultados_Apertura!$B$2:$B$154, B17, Resultados_Apertura!$C$2:$C$154) + SUMIF($B$2:$B16, B17, $C$2:$C16)) / (COUNTIF(Resultados_Apertura!$B$2:$B$154, B17) + COUNTIF($B$2:$B16, B17))</f>
        <v>1.125</v>
      </c>
      <c r="J18" s="10">
        <f>(SUMIF(Resultados_Apertura!$B$2:$B$154, B17, Resultados_Apertura!$D$2:$D$154) + SUMIF($B$2:$B16, B17, $D$2:$D16)) / (COUNTIF(Resultados_Apertura!$B$2:$B$154, B17) + COUNTIF($B$2:$B16, B17))</f>
        <v>1</v>
      </c>
      <c r="K18" s="10">
        <f>(SUMIF(Resultados_Apertura!$E$2:$E$154, E17, Resultados_Apertura!$D$2:$D$154) + SUMIF($E$2:$E16, E17, $D$2:$D16)) / (COUNTIF(Resultados_Apertura!$E$2:$E$154, E17) + COUNTIF($E$2:$E16, E17))</f>
        <v>0.44444444444444442</v>
      </c>
      <c r="L18" s="10">
        <f>(SUMIF(Resultados_Apertura!$E$2:$E$154, E17, Resultados_Apertura!$C$2:$C$154) + SUMIF($E$2:$E16, E17, $C$2:$C16)) / (COUNTIF(Resultados_Apertura!$E$2:$E$154, E17) + COUNTIF($E$2:$E16, E17))</f>
        <v>1.6666666666666667</v>
      </c>
      <c r="M18" s="9">
        <f>((I18 * L18) / Formulas!$D$2) * IF(H18&gt;=2000, 1.2, IF(H18&gt;=1000, 1.1, 1))</f>
        <v>1.1144770408163265</v>
      </c>
      <c r="N18" s="9">
        <f>((K18 * J18) / Formulas!$D$6) * IF(H18&gt;=2000, 0.75, IF(H18&gt;=1000, 0.85, 1))</f>
        <v>0.41093474426807752</v>
      </c>
    </row>
    <row r="19" spans="1:14">
      <c r="A19" t="s">
        <v>72</v>
      </c>
      <c r="B19" t="s">
        <v>26</v>
      </c>
      <c r="C19">
        <v>2</v>
      </c>
      <c r="D19">
        <v>1</v>
      </c>
      <c r="E19" t="s">
        <v>30</v>
      </c>
      <c r="F19" t="s">
        <v>18</v>
      </c>
      <c r="G19">
        <f>VLOOKUP(B19,Resultados_Apertura!$B$2:$H$154,6,FALSE)</f>
        <v>3399</v>
      </c>
      <c r="H19">
        <f>VLOOKUP(E19,Resultados_Apertura!$E$2:$H$154,4,FALSE)</f>
        <v>2750</v>
      </c>
      <c r="I19" s="10">
        <f>(SUMIF(Resultados_Apertura!$B$2:$B$154, B18, Resultados_Apertura!$C$2:$C$154) + SUMIF($B$2:$B17, B18, $C$2:$C17)) / (COUNTIF(Resultados_Apertura!$B$2:$B$154, B18) + COUNTIF($B$2:$B17, B18))</f>
        <v>1</v>
      </c>
      <c r="J19" s="10">
        <f>(SUMIF(Resultados_Apertura!$B$2:$B$154, B18, Resultados_Apertura!$D$2:$D$154) + SUMIF($B$2:$B17, B18, $D$2:$D17)) / (COUNTIF(Resultados_Apertura!$B$2:$B$154, B18) + COUNTIF($B$2:$B17, B18))</f>
        <v>0.55555555555555558</v>
      </c>
      <c r="K19" s="10">
        <f>(SUMIF(Resultados_Apertura!$E$2:$E$154, E18, Resultados_Apertura!$D$2:$D$154) + SUMIF($E$2:$E17, E18, $D$2:$D17)) / (COUNTIF(Resultados_Apertura!$E$2:$E$154, E18) + COUNTIF($E$2:$E17, E18))</f>
        <v>0.88888888888888884</v>
      </c>
      <c r="L19" s="10">
        <f>(SUMIF(Resultados_Apertura!$E$2:$E$154, E18, Resultados_Apertura!$C$2:$C$154) + SUMIF($E$2:$E17, E18, $C$2:$C17)) / (COUNTIF(Resultados_Apertura!$E$2:$E$154, E18) + COUNTIF($E$2:$E17, E18))</f>
        <v>0.44444444444444442</v>
      </c>
      <c r="M19" s="9">
        <f>((I19 * L19) / Formulas!$D$2) * IF(H19&gt;=2000, 1.2, IF(H19&gt;=1000, 1.1, 1))</f>
        <v>0.31700680272108844</v>
      </c>
      <c r="N19" s="9">
        <f>((K19 * J19) / Formulas!$D$6) * IF(H19&gt;=2000, 0.75, IF(H19&gt;=1000, 0.85, 1))</f>
        <v>0.34244562022339797</v>
      </c>
    </row>
    <row r="20" spans="1:14">
      <c r="A20" t="s">
        <v>73</v>
      </c>
      <c r="B20" t="s">
        <v>35</v>
      </c>
      <c r="C20">
        <v>3</v>
      </c>
      <c r="D20">
        <v>2</v>
      </c>
      <c r="E20" t="s">
        <v>19</v>
      </c>
      <c r="F20" t="s">
        <v>36</v>
      </c>
      <c r="G20">
        <f>VLOOKUP(B20,Resultados_Apertura!$B$2:$H$154,6,FALSE)</f>
        <v>2926</v>
      </c>
      <c r="H20">
        <f>VLOOKUP(E20,Resultados_Apertura!$E$2:$H$154,4,FALSE)</f>
        <v>2637</v>
      </c>
      <c r="I20" s="10">
        <f>(SUMIF(Resultados_Apertura!$B$2:$B$154, B19, Resultados_Apertura!$C$2:$C$154) + SUMIF($B$2:$B18, B19, $C$2:$C18)) / (COUNTIF(Resultados_Apertura!$B$2:$B$154, B19) + COUNTIF($B$2:$B18, B19))</f>
        <v>1.8888888888888888</v>
      </c>
      <c r="J20" s="10">
        <f>(SUMIF(Resultados_Apertura!$B$2:$B$154, B19, Resultados_Apertura!$D$2:$D$154) + SUMIF($B$2:$B18, B19, $D$2:$D18)) / (COUNTIF(Resultados_Apertura!$B$2:$B$154, B19) + COUNTIF($B$2:$B18, B19))</f>
        <v>1</v>
      </c>
      <c r="K20" s="10">
        <f>(SUMIF(Resultados_Apertura!$E$2:$E$154, E19, Resultados_Apertura!$D$2:$D$154) + SUMIF($E$2:$E18, E19, $D$2:$D18)) / (COUNTIF(Resultados_Apertura!$E$2:$E$154, E19) + COUNTIF($E$2:$E18, E19))</f>
        <v>0.77777777777777779</v>
      </c>
      <c r="L20" s="10">
        <f>(SUMIF(Resultados_Apertura!$E$2:$E$154, E19, Resultados_Apertura!$C$2:$C$154) + SUMIF($E$2:$E18, E19, $C$2:$C18)) / (COUNTIF(Resultados_Apertura!$E$2:$E$154, E19) + COUNTIF($E$2:$E18, E19))</f>
        <v>1.6666666666666667</v>
      </c>
      <c r="M20" s="9">
        <f>((I20 * L20) / Formulas!$D$2) * IF(H20&gt;=2000, 1.2, IF(H20&gt;=1000, 1.1, 1))</f>
        <v>2.2454648526077099</v>
      </c>
      <c r="N20" s="9">
        <f>((K20 * J20) / Formulas!$D$6) * IF(H20&gt;=2000, 0.75, IF(H20&gt;=1000, 0.85, 1))</f>
        <v>0.53935185185185186</v>
      </c>
    </row>
    <row r="21" spans="1:14">
      <c r="A21" t="s">
        <v>73</v>
      </c>
      <c r="B21" t="s">
        <v>30</v>
      </c>
      <c r="C21">
        <v>0</v>
      </c>
      <c r="D21">
        <v>2</v>
      </c>
      <c r="E21" t="s">
        <v>24</v>
      </c>
      <c r="F21" t="s">
        <v>31</v>
      </c>
      <c r="G21">
        <f>VLOOKUP(B21,Resultados_Apertura!$B$2:$H$154,6,FALSE)</f>
        <v>2750</v>
      </c>
      <c r="H21">
        <f>VLOOKUP(E21,Resultados_Apertura!$E$2:$H$154,4,FALSE)</f>
        <v>3259</v>
      </c>
      <c r="I21" s="10">
        <f>(SUMIF(Resultados_Apertura!$B$2:$B$154, B20, Resultados_Apertura!$C$2:$C$154) + SUMIF($B$2:$B19, B20, $C$2:$C19)) / (COUNTIF(Resultados_Apertura!$B$2:$B$154, B20) + COUNTIF($B$2:$B19, B20))</f>
        <v>1.7</v>
      </c>
      <c r="J21" s="10">
        <f>(SUMIF(Resultados_Apertura!$B$2:$B$154, B20, Resultados_Apertura!$D$2:$D$154) + SUMIF($B$2:$B19, B20, $D$2:$D19)) / (COUNTIF(Resultados_Apertura!$B$2:$B$154, B20) + COUNTIF($B$2:$B19, B20))</f>
        <v>0.8</v>
      </c>
      <c r="K21" s="10">
        <f>(SUMIF(Resultados_Apertura!$E$2:$E$154, E20, Resultados_Apertura!$D$2:$D$154) + SUMIF($E$2:$E19, E20, $D$2:$D19)) / (COUNTIF(Resultados_Apertura!$E$2:$E$154, E20) + COUNTIF($E$2:$E19, E20))</f>
        <v>1.2222222222222223</v>
      </c>
      <c r="L21" s="10">
        <f>(SUMIF(Resultados_Apertura!$E$2:$E$154, E20, Resultados_Apertura!$C$2:$C$154) + SUMIF($E$2:$E19, E20, $C$2:$C19)) / (COUNTIF(Resultados_Apertura!$E$2:$E$154, E20) + COUNTIF($E$2:$E19, E20))</f>
        <v>1.8888888888888888</v>
      </c>
      <c r="M21" s="9">
        <f>((I21 * L21) / Formulas!$D$2) * IF(H21&gt;=2000, 1.2, IF(H21&gt;=1000, 1.1, 1))</f>
        <v>2.2903741496598635</v>
      </c>
      <c r="N21" s="9">
        <f>((K21 * J21) / Formulas!$D$6) * IF(H21&gt;=2000, 0.75, IF(H21&gt;=1000, 0.85, 1))</f>
        <v>0.678042328042328</v>
      </c>
    </row>
    <row r="22" spans="1:14">
      <c r="A22" t="s">
        <v>73</v>
      </c>
      <c r="B22" t="s">
        <v>15</v>
      </c>
      <c r="C22">
        <v>0</v>
      </c>
      <c r="D22">
        <v>1</v>
      </c>
      <c r="E22" t="s">
        <v>39</v>
      </c>
      <c r="F22" t="s">
        <v>10</v>
      </c>
      <c r="G22">
        <f>VLOOKUP(B22,Resultados_Apertura!$B$2:$H$154,6,FALSE)</f>
        <v>29</v>
      </c>
      <c r="H22">
        <f>VLOOKUP(E22,Resultados_Apertura!$E$2:$H$154,4,FALSE)</f>
        <v>5</v>
      </c>
      <c r="I22" s="10">
        <f>(SUMIF(Resultados_Apertura!$B$2:$B$154, B21, Resultados_Apertura!$C$2:$C$154) + SUMIF($B$2:$B20, B21, $C$2:$C20)) / (COUNTIF(Resultados_Apertura!$B$2:$B$154, B21) + COUNTIF($B$2:$B20, B21))</f>
        <v>2</v>
      </c>
      <c r="J22" s="10">
        <f>(SUMIF(Resultados_Apertura!$B$2:$B$154, B21, Resultados_Apertura!$D$2:$D$154) + SUMIF($B$2:$B20, B21, $D$2:$D20)) / (COUNTIF(Resultados_Apertura!$B$2:$B$154, B21) + COUNTIF($B$2:$B20, B21))</f>
        <v>1.6666666666666667</v>
      </c>
      <c r="K22" s="10">
        <f>(SUMIF(Resultados_Apertura!$E$2:$E$154, E21, Resultados_Apertura!$D$2:$D$154) + SUMIF($E$2:$E20, E21, $D$2:$D20)) / (COUNTIF(Resultados_Apertura!$E$2:$E$154, E21) + COUNTIF($E$2:$E20, E21))</f>
        <v>1</v>
      </c>
      <c r="L22" s="10">
        <f>(SUMIF(Resultados_Apertura!$E$2:$E$154, E21, Resultados_Apertura!$C$2:$C$154) + SUMIF($E$2:$E20, E21, $C$2:$C20)) / (COUNTIF(Resultados_Apertura!$E$2:$E$154, E21) + COUNTIF($E$2:$E20, E21))</f>
        <v>2.4</v>
      </c>
      <c r="M22" s="9">
        <f>((I22 * L22) / Formulas!$D$2) * IF(H22&gt;=2000, 1.2, IF(H22&gt;=1000, 1.1, 1))</f>
        <v>2.8530612244897959</v>
      </c>
      <c r="N22" s="9">
        <f>((K22 * J22) / Formulas!$D$6) * IF(H22&gt;=2000, 0.75, IF(H22&gt;=1000, 0.85, 1))</f>
        <v>1.5410052910052909</v>
      </c>
    </row>
    <row r="23" spans="1:14">
      <c r="A23" t="s">
        <v>73</v>
      </c>
      <c r="B23" t="s">
        <v>23</v>
      </c>
      <c r="C23">
        <v>4</v>
      </c>
      <c r="D23">
        <v>1</v>
      </c>
      <c r="E23" t="s">
        <v>44</v>
      </c>
      <c r="F23" t="s">
        <v>18</v>
      </c>
      <c r="G23">
        <f>VLOOKUP(B23,Resultados_Apertura!$B$2:$H$154,6,FALSE)</f>
        <v>3399</v>
      </c>
      <c r="H23">
        <f>VLOOKUP(E23,Resultados_Apertura!$E$2:$H$154,4,FALSE)</f>
        <v>2750</v>
      </c>
      <c r="I23" s="10">
        <f>(SUMIF(Resultados_Apertura!$B$2:$B$154, B22, Resultados_Apertura!$C$2:$C$154) + SUMIF($B$2:$B21, B22, $C$2:$C21)) / (COUNTIF(Resultados_Apertura!$B$2:$B$154, B22) + COUNTIF($B$2:$B21, B22))</f>
        <v>1.2222222222222223</v>
      </c>
      <c r="J23" s="10">
        <f>(SUMIF(Resultados_Apertura!$B$2:$B$154, B22, Resultados_Apertura!$D$2:$D$154) + SUMIF($B$2:$B21, B22, $D$2:$D21)) / (COUNTIF(Resultados_Apertura!$B$2:$B$154, B22) + COUNTIF($B$2:$B21, B22))</f>
        <v>0.77777777777777779</v>
      </c>
      <c r="K23" s="10">
        <f>(SUMIF(Resultados_Apertura!$E$2:$E$154, E22, Resultados_Apertura!$D$2:$D$154) + SUMIF($E$2:$E21, E22, $D$2:$D21)) / (COUNTIF(Resultados_Apertura!$E$2:$E$154, E22) + COUNTIF($E$2:$E21, E22))</f>
        <v>0.66666666666666663</v>
      </c>
      <c r="L23" s="10">
        <f>(SUMIF(Resultados_Apertura!$E$2:$E$154, E22, Resultados_Apertura!$C$2:$C$154) + SUMIF($E$2:$E21, E22, $C$2:$C21)) / (COUNTIF(Resultados_Apertura!$E$2:$E$154, E22) + COUNTIF($E$2:$E21, E22))</f>
        <v>1.6666666666666667</v>
      </c>
      <c r="M23" s="9">
        <f>((I23 * L23) / Formulas!$D$2) * IF(H23&gt;=2000, 1.2, IF(H23&gt;=1000, 1.1, 1))</f>
        <v>1.4529478458049889</v>
      </c>
      <c r="N23" s="9">
        <f>((K23 * J23) / Formulas!$D$6) * IF(H23&gt;=2000, 0.75, IF(H23&gt;=1000, 0.85, 1))</f>
        <v>0.35956790123456783</v>
      </c>
    </row>
    <row r="24" spans="1:14">
      <c r="A24" t="s">
        <v>73</v>
      </c>
      <c r="B24" t="s">
        <v>12</v>
      </c>
      <c r="C24">
        <v>3</v>
      </c>
      <c r="D24">
        <v>1</v>
      </c>
      <c r="E24" t="s">
        <v>9</v>
      </c>
      <c r="F24" t="s">
        <v>13</v>
      </c>
      <c r="G24">
        <f>VLOOKUP(B24,Resultados_Apertura!$B$2:$H$154,6,FALSE)</f>
        <v>150</v>
      </c>
      <c r="H24">
        <f>VLOOKUP(E24,Resultados_Apertura!$E$2:$H$154,4,FALSE)</f>
        <v>60</v>
      </c>
      <c r="I24" s="10">
        <f>(SUMIF(Resultados_Apertura!$B$2:$B$154, B23, Resultados_Apertura!$C$2:$C$154) + SUMIF($B$2:$B22, B23, $C$2:$C22)) / (COUNTIF(Resultados_Apertura!$B$2:$B$154, B23) + COUNTIF($B$2:$B22, B23))</f>
        <v>1.6666666666666667</v>
      </c>
      <c r="J24" s="10">
        <f>(SUMIF(Resultados_Apertura!$B$2:$B$154, B23, Resultados_Apertura!$D$2:$D$154) + SUMIF($B$2:$B22, B23, $D$2:$D22)) / (COUNTIF(Resultados_Apertura!$B$2:$B$154, B23) + COUNTIF($B$2:$B22, B23))</f>
        <v>0.77777777777777779</v>
      </c>
      <c r="K24" s="10">
        <f>(SUMIF(Resultados_Apertura!$E$2:$E$154, E23, Resultados_Apertura!$D$2:$D$154) + SUMIF($E$2:$E22, E23, $D$2:$D22)) / (COUNTIF(Resultados_Apertura!$E$2:$E$154, E23) + COUNTIF($E$2:$E22, E23))</f>
        <v>1.3</v>
      </c>
      <c r="L24" s="10">
        <f>(SUMIF(Resultados_Apertura!$E$2:$E$154, E23, Resultados_Apertura!$C$2:$C$154) + SUMIF($E$2:$E22, E23, $C$2:$C22)) / (COUNTIF(Resultados_Apertura!$E$2:$E$154, E23) + COUNTIF($E$2:$E22, E23))</f>
        <v>2.1</v>
      </c>
      <c r="M24" s="9">
        <f>((I24 * L24) / Formulas!$D$2) * IF(H24&gt;=2000, 1.2, IF(H24&gt;=1000, 1.1, 1))</f>
        <v>2.0803571428571432</v>
      </c>
      <c r="N24" s="9">
        <f>((K24 * J24) / Formulas!$D$6) * IF(H24&gt;=2000, 0.75, IF(H24&gt;=1000, 0.85, 1))</f>
        <v>0.93487654320987645</v>
      </c>
    </row>
    <row r="25" spans="1:14">
      <c r="A25" t="s">
        <v>73</v>
      </c>
      <c r="B25" t="s">
        <v>42</v>
      </c>
      <c r="C25">
        <v>2</v>
      </c>
      <c r="D25">
        <v>0</v>
      </c>
      <c r="E25" t="s">
        <v>32</v>
      </c>
      <c r="F25" t="s">
        <v>13</v>
      </c>
      <c r="G25">
        <f>VLOOKUP(B25,Resultados_Apertura!$B$2:$H$154,6,FALSE)</f>
        <v>150</v>
      </c>
      <c r="H25">
        <f>VLOOKUP(E25,Resultados_Apertura!$E$2:$H$154,4,FALSE)</f>
        <v>209</v>
      </c>
      <c r="I25" s="10">
        <f>(SUMIF(Resultados_Apertura!$B$2:$B$154, B24, Resultados_Apertura!$C$2:$C$154) + SUMIF($B$2:$B23, B24, $C$2:$C23)) / (COUNTIF(Resultados_Apertura!$B$2:$B$154, B24) + COUNTIF($B$2:$B23, B24))</f>
        <v>2.6666666666666665</v>
      </c>
      <c r="J25" s="10">
        <f>(SUMIF(Resultados_Apertura!$B$2:$B$154, B24, Resultados_Apertura!$D$2:$D$154) + SUMIF($B$2:$B23, B24, $D$2:$D23)) / (COUNTIF(Resultados_Apertura!$B$2:$B$154, B24) + COUNTIF($B$2:$B23, B24))</f>
        <v>0.55555555555555558</v>
      </c>
      <c r="K25" s="10">
        <f>(SUMIF(Resultados_Apertura!$E$2:$E$154, E24, Resultados_Apertura!$D$2:$D$154) + SUMIF($E$2:$E23, E24, $D$2:$D23)) / (COUNTIF(Resultados_Apertura!$E$2:$E$154, E24) + COUNTIF($E$2:$E23, E24))</f>
        <v>1</v>
      </c>
      <c r="L25" s="10">
        <f>(SUMIF(Resultados_Apertura!$E$2:$E$154, E24, Resultados_Apertura!$C$2:$C$154) + SUMIF($E$2:$E23, E24, $C$2:$C23)) / (COUNTIF(Resultados_Apertura!$E$2:$E$154, E24) + COUNTIF($E$2:$E23, E24))</f>
        <v>1.7</v>
      </c>
      <c r="M25" s="9">
        <f>((I25 * L25) / Formulas!$D$2) * IF(H25&gt;=2000, 1.2, IF(H25&gt;=1000, 1.1, 1))</f>
        <v>2.6945578231292515</v>
      </c>
      <c r="N25" s="9">
        <f>((K25 * J25) / Formulas!$D$6) * IF(H25&gt;=2000, 0.75, IF(H25&gt;=1000, 0.85, 1))</f>
        <v>0.51366843033509701</v>
      </c>
    </row>
    <row r="26" spans="1:14">
      <c r="A26" t="s">
        <v>73</v>
      </c>
      <c r="B26" t="s">
        <v>5</v>
      </c>
      <c r="C26">
        <v>0</v>
      </c>
      <c r="D26">
        <v>1</v>
      </c>
      <c r="E26" t="s">
        <v>26</v>
      </c>
      <c r="F26" t="s">
        <v>6</v>
      </c>
      <c r="G26">
        <f>VLOOKUP(B26,Resultados_Apertura!$B$2:$H$154,6,FALSE)</f>
        <v>3050</v>
      </c>
      <c r="H26">
        <f>VLOOKUP(E26,Resultados_Apertura!$E$2:$H$154,4,FALSE)</f>
        <v>3399</v>
      </c>
      <c r="I26" s="10">
        <f>(SUMIF(Resultados_Apertura!$B$2:$B$154, B25, Resultados_Apertura!$C$2:$C$154) + SUMIF($B$2:$B24, B25, $C$2:$C24)) / (COUNTIF(Resultados_Apertura!$B$2:$B$154, B25) + COUNTIF($B$2:$B24, B25))</f>
        <v>2</v>
      </c>
      <c r="J26" s="10">
        <f>(SUMIF(Resultados_Apertura!$B$2:$B$154, B25, Resultados_Apertura!$D$2:$D$154) + SUMIF($B$2:$B24, B25, $D$2:$D24)) / (COUNTIF(Resultados_Apertura!$B$2:$B$154, B25) + COUNTIF($B$2:$B24, B25))</f>
        <v>1.3333333333333333</v>
      </c>
      <c r="K26" s="10">
        <f>(SUMIF(Resultados_Apertura!$E$2:$E$154, E25, Resultados_Apertura!$D$2:$D$154) + SUMIF($E$2:$E24, E25, $D$2:$D24)) / (COUNTIF(Resultados_Apertura!$E$2:$E$154, E25) + COUNTIF($E$2:$E24, E25))</f>
        <v>1.2222222222222223</v>
      </c>
      <c r="L26" s="10">
        <f>(SUMIF(Resultados_Apertura!$E$2:$E$154, E25, Resultados_Apertura!$C$2:$C$154) + SUMIF($E$2:$E24, E25, $C$2:$C24)) / (COUNTIF(Resultados_Apertura!$E$2:$E$154, E25) + COUNTIF($E$2:$E24, E25))</f>
        <v>2.5555555555555554</v>
      </c>
      <c r="M26" s="9">
        <f>((I26 * L26) / Formulas!$D$2) * IF(H26&gt;=2000, 1.2, IF(H26&gt;=1000, 1.1, 1))</f>
        <v>3.6455782312925167</v>
      </c>
      <c r="N26" s="9">
        <f>((K26 * J26) / Formulas!$D$6) * IF(H26&gt;=2000, 0.75, IF(H26&gt;=1000, 0.85, 1))</f>
        <v>1.1300705467372134</v>
      </c>
    </row>
    <row r="27" spans="1:14">
      <c r="A27" t="s">
        <v>73</v>
      </c>
      <c r="B27" t="s">
        <v>27</v>
      </c>
      <c r="C27">
        <v>0</v>
      </c>
      <c r="D27">
        <v>0</v>
      </c>
      <c r="E27" t="s">
        <v>37</v>
      </c>
      <c r="F27" t="s">
        <v>28</v>
      </c>
      <c r="G27">
        <f>VLOOKUP(B27,Resultados_Apertura!$B$2:$H$154,6,FALSE)</f>
        <v>1410</v>
      </c>
      <c r="H27">
        <f>VLOOKUP(E27,Resultados_Apertura!$E$2:$H$154,4,FALSE)</f>
        <v>2335</v>
      </c>
      <c r="I27" s="10">
        <f>(SUMIF(Resultados_Apertura!$B$2:$B$154, B26, Resultados_Apertura!$C$2:$C$154) + SUMIF($B$2:$B25, B26, $C$2:$C25)) / (COUNTIF(Resultados_Apertura!$B$2:$B$154, B26) + COUNTIF($B$2:$B25, B26))</f>
        <v>1.5</v>
      </c>
      <c r="J27" s="10">
        <f>(SUMIF(Resultados_Apertura!$B$2:$B$154, B26, Resultados_Apertura!$D$2:$D$154) + SUMIF($B$2:$B25, B26, $D$2:$D25)) / (COUNTIF(Resultados_Apertura!$B$2:$B$154, B26) + COUNTIF($B$2:$B25, B26))</f>
        <v>1.1000000000000001</v>
      </c>
      <c r="K27" s="10">
        <f>(SUMIF(Resultados_Apertura!$E$2:$E$154, E26, Resultados_Apertura!$D$2:$D$154) + SUMIF($E$2:$E25, E26, $D$2:$D25)) / (COUNTIF(Resultados_Apertura!$E$2:$E$154, E26) + COUNTIF($E$2:$E25, E26))</f>
        <v>0.44444444444444442</v>
      </c>
      <c r="L27" s="10">
        <f>(SUMIF(Resultados_Apertura!$E$2:$E$154, E26, Resultados_Apertura!$C$2:$C$154) + SUMIF($E$2:$E25, E26, $C$2:$C25)) / (COUNTIF(Resultados_Apertura!$E$2:$E$154, E26) + COUNTIF($E$2:$E25, E26))</f>
        <v>1.1111111111111112</v>
      </c>
      <c r="M27" s="9">
        <f>((I27 * L27) / Formulas!$D$2) * IF(H27&gt;=2000, 1.2, IF(H27&gt;=1000, 1.1, 1))</f>
        <v>1.1887755102040816</v>
      </c>
      <c r="N27" s="9">
        <f>((K27 * J27) / Formulas!$D$6) * IF(H27&gt;=2000, 0.75, IF(H27&gt;=1000, 0.85, 1))</f>
        <v>0.339021164021164</v>
      </c>
    </row>
    <row r="28" spans="1:14">
      <c r="A28" t="s">
        <v>73</v>
      </c>
      <c r="B28" t="s">
        <v>17</v>
      </c>
      <c r="C28">
        <v>2</v>
      </c>
      <c r="D28">
        <v>0</v>
      </c>
      <c r="E28" t="s">
        <v>43</v>
      </c>
      <c r="F28" t="s">
        <v>18</v>
      </c>
      <c r="G28">
        <f>VLOOKUP(B28,Resultados_Apertura!$B$2:$H$154,6,FALSE)</f>
        <v>3399</v>
      </c>
      <c r="H28">
        <f>VLOOKUP(E28,Resultados_Apertura!$E$2:$H$154,4,FALSE)</f>
        <v>150</v>
      </c>
      <c r="I28" s="10">
        <f>(SUMIF(Resultados_Apertura!$B$2:$B$154, B27, Resultados_Apertura!$C$2:$C$154) + SUMIF($B$2:$B26, B27, $C$2:$C26)) / (COUNTIF(Resultados_Apertura!$B$2:$B$154, B27) + COUNTIF($B$2:$B26, B27))</f>
        <v>1.6666666666666667</v>
      </c>
      <c r="J28" s="10">
        <f>(SUMIF(Resultados_Apertura!$B$2:$B$154, B27, Resultados_Apertura!$D$2:$D$154) + SUMIF($B$2:$B26, B27, $D$2:$D26)) / (COUNTIF(Resultados_Apertura!$B$2:$B$154, B27) + COUNTIF($B$2:$B26, B27))</f>
        <v>1.2222222222222223</v>
      </c>
      <c r="K28" s="10">
        <f>(SUMIF(Resultados_Apertura!$E$2:$E$154, E27, Resultados_Apertura!$D$2:$D$154) + SUMIF($E$2:$E26, E27, $D$2:$D26)) / (COUNTIF(Resultados_Apertura!$E$2:$E$154, E27) + COUNTIF($E$2:$E26, E27))</f>
        <v>1.4444444444444444</v>
      </c>
      <c r="L28" s="10">
        <f>(SUMIF(Resultados_Apertura!$E$2:$E$154, E27, Resultados_Apertura!$C$2:$C$154) + SUMIF($E$2:$E26, E27, $C$2:$C26)) / (COUNTIF(Resultados_Apertura!$E$2:$E$154, E27) + COUNTIF($E$2:$E26, E27))</f>
        <v>1.4444444444444444</v>
      </c>
      <c r="M28" s="9">
        <f>((I28 * L28) / Formulas!$D$2) * IF(H28&gt;=2000, 1.2, IF(H28&gt;=1000, 1.1, 1))</f>
        <v>1.4309334845049131</v>
      </c>
      <c r="N28" s="9">
        <f>((K28 * J28) / Formulas!$D$6) * IF(H28&gt;=2000, 0.75, IF(H28&gt;=1000, 0.85, 1))</f>
        <v>1.6323241230648637</v>
      </c>
    </row>
    <row r="29" spans="1:14">
      <c r="A29" t="s">
        <v>74</v>
      </c>
      <c r="B29" t="s">
        <v>9</v>
      </c>
      <c r="C29">
        <v>1</v>
      </c>
      <c r="D29">
        <v>0</v>
      </c>
      <c r="E29" t="s">
        <v>17</v>
      </c>
      <c r="F29" t="s">
        <v>10</v>
      </c>
      <c r="G29">
        <f>VLOOKUP(B29,Resultados_Apertura!$B$2:$H$154,6,FALSE)</f>
        <v>60</v>
      </c>
      <c r="H29">
        <f>VLOOKUP(E29,Resultados_Apertura!$E$2:$H$154,4,FALSE)</f>
        <v>3399</v>
      </c>
      <c r="I29" s="10">
        <f>(SUMIF(Resultados_Apertura!$B$2:$B$154, B28, Resultados_Apertura!$C$2:$C$154) + SUMIF($B$2:$B27, B28, $C$2:$C27)) / (COUNTIF(Resultados_Apertura!$B$2:$B$154, B28) + COUNTIF($B$2:$B27, B28))</f>
        <v>2.2999999999999998</v>
      </c>
      <c r="J29" s="10">
        <f>(SUMIF(Resultados_Apertura!$B$2:$B$154, B28, Resultados_Apertura!$D$2:$D$154) + SUMIF($B$2:$B27, B28, $D$2:$D27)) / (COUNTIF(Resultados_Apertura!$B$2:$B$154, B28) + COUNTIF($B$2:$B27, B28))</f>
        <v>1.2</v>
      </c>
      <c r="K29" s="10">
        <f>(SUMIF(Resultados_Apertura!$E$2:$E$154, E28, Resultados_Apertura!$D$2:$D$154) + SUMIF($E$2:$E27, E28, $D$2:$D27)) / (COUNTIF(Resultados_Apertura!$E$2:$E$154, E28) + COUNTIF($E$2:$E27, E28))</f>
        <v>1.2222222222222223</v>
      </c>
      <c r="L29" s="10">
        <f>(SUMIF(Resultados_Apertura!$E$2:$E$154, E28, Resultados_Apertura!$C$2:$C$154) + SUMIF($E$2:$E27, E28, $C$2:$C27)) / (COUNTIF(Resultados_Apertura!$E$2:$E$154, E28) + COUNTIF($E$2:$E27, E28))</f>
        <v>1.1111111111111112</v>
      </c>
      <c r="M29" s="9">
        <f>((I29 * L29) / Formulas!$D$2) * IF(H29&gt;=2000, 1.2, IF(H29&gt;=1000, 1.1, 1))</f>
        <v>1.8227891156462583</v>
      </c>
      <c r="N29" s="9">
        <f>((K29 * J29) / Formulas!$D$6) * IF(H29&gt;=2000, 0.75, IF(H29&gt;=1000, 0.85, 1))</f>
        <v>1.017063492063492</v>
      </c>
    </row>
    <row r="30" spans="1:14">
      <c r="A30" t="s">
        <v>74</v>
      </c>
      <c r="B30" t="s">
        <v>24</v>
      </c>
      <c r="C30">
        <v>1</v>
      </c>
      <c r="D30">
        <v>1</v>
      </c>
      <c r="E30" t="s">
        <v>35</v>
      </c>
      <c r="F30" t="s">
        <v>25</v>
      </c>
      <c r="G30">
        <f>VLOOKUP(B30,Resultados_Apertura!$B$2:$H$154,6,FALSE)</f>
        <v>3259</v>
      </c>
      <c r="H30">
        <f>VLOOKUP(E30,Resultados_Apertura!$E$2:$H$154,4,FALSE)</f>
        <v>2926</v>
      </c>
      <c r="I30" s="10">
        <f>(SUMIF(Resultados_Apertura!$B$2:$B$154, B29, Resultados_Apertura!$C$2:$C$154) + SUMIF($B$2:$B28, B29, $C$2:$C28)) / (COUNTIF(Resultados_Apertura!$B$2:$B$154, B29) + COUNTIF($B$2:$B28, B29))</f>
        <v>1.5555555555555556</v>
      </c>
      <c r="J30" s="10">
        <f>(SUMIF(Resultados_Apertura!$B$2:$B$154, B29, Resultados_Apertura!$D$2:$D$154) + SUMIF($B$2:$B28, B29, $D$2:$D28)) / (COUNTIF(Resultados_Apertura!$B$2:$B$154, B29) + COUNTIF($B$2:$B28, B29))</f>
        <v>0.66666666666666663</v>
      </c>
      <c r="K30" s="10">
        <f>(SUMIF(Resultados_Apertura!$E$2:$E$154, E29, Resultados_Apertura!$D$2:$D$154) + SUMIF($E$2:$E28, E29, $D$2:$D28)) / (COUNTIF(Resultados_Apertura!$E$2:$E$154, E29) + COUNTIF($E$2:$E28, E29))</f>
        <v>1.3333333333333333</v>
      </c>
      <c r="L30" s="10">
        <f>(SUMIF(Resultados_Apertura!$E$2:$E$154, E29, Resultados_Apertura!$C$2:$C$154) + SUMIF($E$2:$E28, E29, $C$2:$C28)) / (COUNTIF(Resultados_Apertura!$E$2:$E$154, E29) + COUNTIF($E$2:$E28, E29))</f>
        <v>1.6666666666666667</v>
      </c>
      <c r="M30" s="9">
        <f>((I30 * L30) / Formulas!$D$2) * IF(H30&gt;=2000, 1.2, IF(H30&gt;=1000, 1.1, 1))</f>
        <v>1.8492063492063491</v>
      </c>
      <c r="N30" s="9">
        <f>((K30 * J30) / Formulas!$D$6) * IF(H30&gt;=2000, 0.75, IF(H30&gt;=1000, 0.85, 1))</f>
        <v>0.61640211640211628</v>
      </c>
    </row>
    <row r="31" spans="1:14">
      <c r="A31" t="s">
        <v>74</v>
      </c>
      <c r="B31" t="s">
        <v>19</v>
      </c>
      <c r="C31">
        <v>3</v>
      </c>
      <c r="D31">
        <v>1</v>
      </c>
      <c r="E31" t="s">
        <v>23</v>
      </c>
      <c r="F31" t="s">
        <v>20</v>
      </c>
      <c r="G31">
        <f>VLOOKUP(B31,Resultados_Apertura!$B$2:$H$154,6,FALSE)</f>
        <v>2637</v>
      </c>
      <c r="H31">
        <f>VLOOKUP(E31,Resultados_Apertura!$E$2:$H$154,4,FALSE)</f>
        <v>3399</v>
      </c>
      <c r="I31" s="10">
        <f>(SUMIF(Resultados_Apertura!$B$2:$B$154, B30, Resultados_Apertura!$C$2:$C$154) + SUMIF($B$2:$B29, B30, $C$2:$C29)) / (COUNTIF(Resultados_Apertura!$B$2:$B$154, B30) + COUNTIF($B$2:$B29, B30))</f>
        <v>1.5555555555555556</v>
      </c>
      <c r="J31" s="10">
        <f>(SUMIF(Resultados_Apertura!$B$2:$B$154, B30, Resultados_Apertura!$D$2:$D$154) + SUMIF($B$2:$B29, B30, $D$2:$D29)) / (COUNTIF(Resultados_Apertura!$B$2:$B$154, B30) + COUNTIF($B$2:$B29, B30))</f>
        <v>1</v>
      </c>
      <c r="K31" s="10">
        <f>(SUMIF(Resultados_Apertura!$E$2:$E$154, E30, Resultados_Apertura!$D$2:$D$154) + SUMIF($E$2:$E29, E30, $D$2:$D29)) / (COUNTIF(Resultados_Apertura!$E$2:$E$154, E30) + COUNTIF($E$2:$E29, E30))</f>
        <v>1.1111111111111112</v>
      </c>
      <c r="L31" s="10">
        <f>(SUMIF(Resultados_Apertura!$E$2:$E$154, E30, Resultados_Apertura!$C$2:$C$154) + SUMIF($E$2:$E29, E30, $C$2:$C29)) / (COUNTIF(Resultados_Apertura!$E$2:$E$154, E30) + COUNTIF($E$2:$E29, E30))</f>
        <v>1.7777777777777777</v>
      </c>
      <c r="M31" s="9">
        <f>((I31 * L31) / Formulas!$D$2) * IF(H31&gt;=2000, 1.2, IF(H31&gt;=1000, 1.1, 1))</f>
        <v>1.9724867724867723</v>
      </c>
      <c r="N31" s="9">
        <f>((K31 * J31) / Formulas!$D$6) * IF(H31&gt;=2000, 0.75, IF(H31&gt;=1000, 0.85, 1))</f>
        <v>0.77050264550264558</v>
      </c>
    </row>
    <row r="32" spans="1:14">
      <c r="A32" t="s">
        <v>74</v>
      </c>
      <c r="B32" t="s">
        <v>43</v>
      </c>
      <c r="C32">
        <v>1</v>
      </c>
      <c r="D32">
        <v>1</v>
      </c>
      <c r="E32" t="s">
        <v>42</v>
      </c>
      <c r="F32" t="s">
        <v>13</v>
      </c>
      <c r="G32">
        <f>VLOOKUP(B32,Resultados_Apertura!$B$2:$H$154,6,FALSE)</f>
        <v>150</v>
      </c>
      <c r="H32">
        <f>VLOOKUP(E32,Resultados_Apertura!$E$2:$H$154,4,FALSE)</f>
        <v>150</v>
      </c>
      <c r="I32" s="10">
        <f>(SUMIF(Resultados_Apertura!$B$2:$B$154, B31, Resultados_Apertura!$C$2:$C$154) + SUMIF($B$2:$B30, B31, $C$2:$C30)) / (COUNTIF(Resultados_Apertura!$B$2:$B$154, B31) + COUNTIF($B$2:$B30, B31))</f>
        <v>1.1000000000000001</v>
      </c>
      <c r="J32" s="10">
        <f>(SUMIF(Resultados_Apertura!$B$2:$B$154, B31, Resultados_Apertura!$D$2:$D$154) + SUMIF($B$2:$B30, B31, $D$2:$D30)) / (COUNTIF(Resultados_Apertura!$B$2:$B$154, B31) + COUNTIF($B$2:$B30, B31))</f>
        <v>0.7</v>
      </c>
      <c r="K32" s="10">
        <f>(SUMIF(Resultados_Apertura!$E$2:$E$154, E31, Resultados_Apertura!$D$2:$D$154) + SUMIF($E$2:$E30, E31, $D$2:$D30)) / (COUNTIF(Resultados_Apertura!$E$2:$E$154, E31) + COUNTIF($E$2:$E30, E31))</f>
        <v>1.1000000000000001</v>
      </c>
      <c r="L32" s="10">
        <f>(SUMIF(Resultados_Apertura!$E$2:$E$154, E31, Resultados_Apertura!$C$2:$C$154) + SUMIF($E$2:$E30, E31, $C$2:$C30)) / (COUNTIF(Resultados_Apertura!$E$2:$E$154, E31) + COUNTIF($E$2:$E30, E31))</f>
        <v>2</v>
      </c>
      <c r="M32" s="9">
        <f>((I32 * L32) / Formulas!$D$2) * IF(H32&gt;=2000, 1.2, IF(H32&gt;=1000, 1.1, 1))</f>
        <v>1.3076530612244899</v>
      </c>
      <c r="N32" s="9">
        <f>((K32 * J32) / Formulas!$D$6) * IF(H32&gt;=2000, 0.75, IF(H32&gt;=1000, 0.85, 1))</f>
        <v>0.71194444444444438</v>
      </c>
    </row>
    <row r="33" spans="1:14">
      <c r="A33" t="s">
        <v>74</v>
      </c>
      <c r="B33" t="s">
        <v>44</v>
      </c>
      <c r="C33">
        <v>1</v>
      </c>
      <c r="D33">
        <v>1</v>
      </c>
      <c r="E33" t="s">
        <v>5</v>
      </c>
      <c r="F33" t="s">
        <v>31</v>
      </c>
      <c r="G33">
        <f>VLOOKUP(B33,Resultados_Apertura!$B$2:$H$154,6,FALSE)</f>
        <v>2750</v>
      </c>
      <c r="H33">
        <f>VLOOKUP(E33,Resultados_Apertura!$E$2:$H$154,4,FALSE)</f>
        <v>3050</v>
      </c>
      <c r="I33" s="10">
        <f>(SUMIF(Resultados_Apertura!$B$2:$B$154, B32, Resultados_Apertura!$C$2:$C$154) + SUMIF($B$2:$B31, B32, $C$2:$C31)) / (COUNTIF(Resultados_Apertura!$B$2:$B$154, B32) + COUNTIF($B$2:$B31, B32))</f>
        <v>1.7</v>
      </c>
      <c r="J33" s="10">
        <f>(SUMIF(Resultados_Apertura!$B$2:$B$154, B32, Resultados_Apertura!$D$2:$D$154) + SUMIF($B$2:$B31, B32, $D$2:$D31)) / (COUNTIF(Resultados_Apertura!$B$2:$B$154, B32) + COUNTIF($B$2:$B31, B32))</f>
        <v>0.7</v>
      </c>
      <c r="K33" s="10">
        <f>(SUMIF(Resultados_Apertura!$E$2:$E$154, E32, Resultados_Apertura!$D$2:$D$154) + SUMIF($E$2:$E31, E32, $D$2:$D31)) / (COUNTIF(Resultados_Apertura!$E$2:$E$154, E32) + COUNTIF($E$2:$E31, E32))</f>
        <v>1.2</v>
      </c>
      <c r="L33" s="10">
        <f>(SUMIF(Resultados_Apertura!$E$2:$E$154, E32, Resultados_Apertura!$C$2:$C$154) + SUMIF($E$2:$E31, E32, $C$2:$C31)) / (COUNTIF(Resultados_Apertura!$E$2:$E$154, E32) + COUNTIF($E$2:$E31, E32))</f>
        <v>2</v>
      </c>
      <c r="M33" s="9">
        <f>((I33 * L33) / Formulas!$D$2) * IF(H33&gt;=2000, 1.2, IF(H33&gt;=1000, 1.1, 1))</f>
        <v>2.4251020408163262</v>
      </c>
      <c r="N33" s="9">
        <f>((K33 * J33) / Formulas!$D$6) * IF(H33&gt;=2000, 0.75, IF(H33&gt;=1000, 0.85, 1))</f>
        <v>0.58250000000000002</v>
      </c>
    </row>
    <row r="34" spans="1:14">
      <c r="A34" t="s">
        <v>74</v>
      </c>
      <c r="B34" t="s">
        <v>32</v>
      </c>
      <c r="C34">
        <v>0</v>
      </c>
      <c r="D34">
        <v>0</v>
      </c>
      <c r="E34" t="s">
        <v>15</v>
      </c>
      <c r="F34" t="s">
        <v>33</v>
      </c>
      <c r="G34">
        <f>VLOOKUP(B34,Resultados_Apertura!$B$2:$H$154,6,FALSE)</f>
        <v>209</v>
      </c>
      <c r="H34">
        <f>VLOOKUP(E34,Resultados_Apertura!$E$2:$H$154,4,FALSE)</f>
        <v>29</v>
      </c>
      <c r="I34" s="10">
        <f>(SUMIF(Resultados_Apertura!$B$2:$B$154, B33, Resultados_Apertura!$C$2:$C$154) + SUMIF($B$2:$B32, B33, $C$2:$C32)) / (COUNTIF(Resultados_Apertura!$B$2:$B$154, B33) + COUNTIF($B$2:$B32, B33))</f>
        <v>1</v>
      </c>
      <c r="J34" s="10">
        <f>(SUMIF(Resultados_Apertura!$B$2:$B$154, B33, Resultados_Apertura!$D$2:$D$154) + SUMIF($B$2:$B32, B33, $D$2:$D32)) / (COUNTIF(Resultados_Apertura!$B$2:$B$154, B33) + COUNTIF($B$2:$B32, B33))</f>
        <v>0.88888888888888884</v>
      </c>
      <c r="K34" s="10">
        <f>(SUMIF(Resultados_Apertura!$E$2:$E$154, E33, Resultados_Apertura!$D$2:$D$154) + SUMIF($E$2:$E32, E33, $D$2:$D32)) / (COUNTIF(Resultados_Apertura!$E$2:$E$154, E33) + COUNTIF($E$2:$E32, E33))</f>
        <v>0.88888888888888884</v>
      </c>
      <c r="L34" s="10">
        <f>(SUMIF(Resultados_Apertura!$E$2:$E$154, E33, Resultados_Apertura!$C$2:$C$154) + SUMIF($E$2:$E32, E33, $C$2:$C32)) / (COUNTIF(Resultados_Apertura!$E$2:$E$154, E33) + COUNTIF($E$2:$E32, E33))</f>
        <v>1.5555555555555556</v>
      </c>
      <c r="M34" s="9">
        <f>((I34 * L34) / Formulas!$D$2) * IF(H34&gt;=2000, 1.2, IF(H34&gt;=1000, 1.1, 1))</f>
        <v>0.92460317460317465</v>
      </c>
      <c r="N34" s="9">
        <f>((K34 * J34) / Formulas!$D$6) * IF(H34&gt;=2000, 0.75, IF(H34&gt;=1000, 0.85, 1))</f>
        <v>0.73055065647658235</v>
      </c>
    </row>
    <row r="35" spans="1:14">
      <c r="A35" t="s">
        <v>74</v>
      </c>
      <c r="B35" t="s">
        <v>39</v>
      </c>
      <c r="C35">
        <v>1</v>
      </c>
      <c r="D35">
        <v>1</v>
      </c>
      <c r="E35" t="s">
        <v>12</v>
      </c>
      <c r="F35" t="s">
        <v>40</v>
      </c>
      <c r="G35">
        <f>VLOOKUP(B35,Resultados_Apertura!$B$2:$H$154,6,FALSE)</f>
        <v>5</v>
      </c>
      <c r="H35">
        <f>VLOOKUP(E35,Resultados_Apertura!$E$2:$H$154,4,FALSE)</f>
        <v>150</v>
      </c>
      <c r="I35" s="10">
        <f>(SUMIF(Resultados_Apertura!$B$2:$B$154, B34, Resultados_Apertura!$C$2:$C$154) + SUMIF($B$2:$B33, B34, $C$2:$C33)) / (COUNTIF(Resultados_Apertura!$B$2:$B$154, B34) + COUNTIF($B$2:$B33, B34))</f>
        <v>1.5</v>
      </c>
      <c r="J35" s="10">
        <f>(SUMIF(Resultados_Apertura!$B$2:$B$154, B34, Resultados_Apertura!$D$2:$D$154) + SUMIF($B$2:$B33, B34, $D$2:$D33)) / (COUNTIF(Resultados_Apertura!$B$2:$B$154, B34) + COUNTIF($B$2:$B33, B34))</f>
        <v>1.9</v>
      </c>
      <c r="K35" s="10">
        <f>(SUMIF(Resultados_Apertura!$E$2:$E$154, E34, Resultados_Apertura!$D$2:$D$154) + SUMIF($E$2:$E33, E34, $D$2:$D33)) / (COUNTIF(Resultados_Apertura!$E$2:$E$154, E34) + COUNTIF($E$2:$E33, E34))</f>
        <v>0.4</v>
      </c>
      <c r="L35" s="10">
        <f>(SUMIF(Resultados_Apertura!$E$2:$E$154, E34, Resultados_Apertura!$C$2:$C$154) + SUMIF($E$2:$E33, E34, $C$2:$C33)) / (COUNTIF(Resultados_Apertura!$E$2:$E$154, E34) + COUNTIF($E$2:$E33, E34))</f>
        <v>1.4</v>
      </c>
      <c r="M35" s="9">
        <f>((I35 * L35) / Formulas!$D$2) * IF(H35&gt;=2000, 1.2, IF(H35&gt;=1000, 1.1, 1))</f>
        <v>1.2482142857142855</v>
      </c>
      <c r="N35" s="9">
        <f>((K35 * J35) / Formulas!$D$6) * IF(H35&gt;=2000, 0.75, IF(H35&gt;=1000, 0.85, 1))</f>
        <v>0.7026984126984126</v>
      </c>
    </row>
    <row r="36" spans="1:14">
      <c r="A36" t="s">
        <v>74</v>
      </c>
      <c r="B36" t="s">
        <v>26</v>
      </c>
      <c r="C36">
        <v>2</v>
      </c>
      <c r="D36">
        <v>0</v>
      </c>
      <c r="E36" t="s">
        <v>27</v>
      </c>
      <c r="F36" t="s">
        <v>18</v>
      </c>
      <c r="G36">
        <f>VLOOKUP(B36,Resultados_Apertura!$B$2:$H$154,6,FALSE)</f>
        <v>3399</v>
      </c>
      <c r="H36">
        <f>VLOOKUP(E36,Resultados_Apertura!$E$2:$H$154,4,FALSE)</f>
        <v>1410</v>
      </c>
      <c r="I36" s="10">
        <f>(SUMIF(Resultados_Apertura!$B$2:$B$154, B35, Resultados_Apertura!$C$2:$C$154) + SUMIF($B$2:$B34, B35, $C$2:$C34)) / (COUNTIF(Resultados_Apertura!$B$2:$B$154, B35) + COUNTIF($B$2:$B34, B35))</f>
        <v>1.1000000000000001</v>
      </c>
      <c r="J36" s="10">
        <f>(SUMIF(Resultados_Apertura!$B$2:$B$154, B35, Resultados_Apertura!$D$2:$D$154) + SUMIF($B$2:$B34, B35, $D$2:$D34)) / (COUNTIF(Resultados_Apertura!$B$2:$B$154, B35) + COUNTIF($B$2:$B34, B35))</f>
        <v>0.5</v>
      </c>
      <c r="K36" s="10">
        <f>(SUMIF(Resultados_Apertura!$E$2:$E$154, E35, Resultados_Apertura!$D$2:$D$154) + SUMIF($E$2:$E34, E35, $D$2:$D34)) / (COUNTIF(Resultados_Apertura!$E$2:$E$154, E35) + COUNTIF($E$2:$E34, E35))</f>
        <v>1</v>
      </c>
      <c r="L36" s="10">
        <f>(SUMIF(Resultados_Apertura!$E$2:$E$154, E35, Resultados_Apertura!$C$2:$C$154) + SUMIF($E$2:$E34, E35, $C$2:$C34)) / (COUNTIF(Resultados_Apertura!$E$2:$E$154, E35) + COUNTIF($E$2:$E34, E35))</f>
        <v>0.6</v>
      </c>
      <c r="M36" s="9">
        <f>((I36 * L36) / Formulas!$D$2) * IF(H36&gt;=2000, 1.2, IF(H36&gt;=1000, 1.1, 1))</f>
        <v>0.4315255102040817</v>
      </c>
      <c r="N36" s="9">
        <f>((K36 * J36) / Formulas!$D$6) * IF(H36&gt;=2000, 0.75, IF(H36&gt;=1000, 0.85, 1))</f>
        <v>0.39295634920634914</v>
      </c>
    </row>
    <row r="37" spans="1:14">
      <c r="A37" t="s">
        <v>74</v>
      </c>
      <c r="B37" t="s">
        <v>37</v>
      </c>
      <c r="C37">
        <v>2</v>
      </c>
      <c r="D37">
        <v>4</v>
      </c>
      <c r="E37" t="s">
        <v>30</v>
      </c>
      <c r="F37" t="s">
        <v>38</v>
      </c>
      <c r="G37">
        <f>VLOOKUP(B37,Resultados_Apertura!$B$2:$H$154,6,FALSE)</f>
        <v>2335</v>
      </c>
      <c r="H37">
        <f>VLOOKUP(E37,Resultados_Apertura!$E$2:$H$154,4,FALSE)</f>
        <v>2750</v>
      </c>
      <c r="I37" s="10">
        <f>(SUMIF(Resultados_Apertura!$B$2:$B$154, B36, Resultados_Apertura!$C$2:$C$154) + SUMIF($B$2:$B35, B36, $C$2:$C35)) / (COUNTIF(Resultados_Apertura!$B$2:$B$154, B36) + COUNTIF($B$2:$B35, B36))</f>
        <v>1.9</v>
      </c>
      <c r="J37" s="10">
        <f>(SUMIF(Resultados_Apertura!$B$2:$B$154, B36, Resultados_Apertura!$D$2:$D$154) + SUMIF($B$2:$B35, B36, $D$2:$D35)) / (COUNTIF(Resultados_Apertura!$B$2:$B$154, B36) + COUNTIF($B$2:$B35, B36))</f>
        <v>1</v>
      </c>
      <c r="K37" s="10">
        <f>(SUMIF(Resultados_Apertura!$E$2:$E$154, E36, Resultados_Apertura!$D$2:$D$154) + SUMIF($E$2:$E35, E36, $D$2:$D35)) / (COUNTIF(Resultados_Apertura!$E$2:$E$154, E36) + COUNTIF($E$2:$E35, E36))</f>
        <v>0.4</v>
      </c>
      <c r="L37" s="10">
        <f>(SUMIF(Resultados_Apertura!$E$2:$E$154, E36, Resultados_Apertura!$C$2:$C$154) + SUMIF($E$2:$E35, E36, $C$2:$C35)) / (COUNTIF(Resultados_Apertura!$E$2:$E$154, E36) + COUNTIF($E$2:$E35, E36))</f>
        <v>1.5</v>
      </c>
      <c r="M37" s="9">
        <f>((I37 * L37) / Formulas!$D$2) * IF(H37&gt;=2000, 1.2, IF(H37&gt;=1000, 1.1, 1))</f>
        <v>2.0328061224489793</v>
      </c>
      <c r="N37" s="9">
        <f>((K37 * J37) / Formulas!$D$6) * IF(H37&gt;=2000, 0.75, IF(H37&gt;=1000, 0.85, 1))</f>
        <v>0.27738095238095234</v>
      </c>
    </row>
    <row r="38" spans="1:14">
      <c r="A38" t="s">
        <v>75</v>
      </c>
      <c r="B38" t="s">
        <v>15</v>
      </c>
      <c r="C38">
        <v>1</v>
      </c>
      <c r="D38">
        <v>0</v>
      </c>
      <c r="E38" t="s">
        <v>19</v>
      </c>
      <c r="F38" t="s">
        <v>10</v>
      </c>
      <c r="G38">
        <f>VLOOKUP(B38,Resultados_Apertura!$B$2:$H$154,6,FALSE)</f>
        <v>29</v>
      </c>
      <c r="H38">
        <f>VLOOKUP(E38,Resultados_Apertura!$E$2:$H$154,4,FALSE)</f>
        <v>2637</v>
      </c>
      <c r="I38" s="10">
        <f>(SUMIF(Resultados_Apertura!$B$2:$B$154, B37, Resultados_Apertura!$C$2:$C$154) + SUMIF($B$2:$B36, B37, $C$2:$C36)) / (COUNTIF(Resultados_Apertura!$B$2:$B$154, B37) + COUNTIF($B$2:$B36, B37))</f>
        <v>2.1</v>
      </c>
      <c r="J38" s="10">
        <f>(SUMIF(Resultados_Apertura!$B$2:$B$154, B37, Resultados_Apertura!$D$2:$D$154) + SUMIF($B$2:$B36, B37, $D$2:$D36)) / (COUNTIF(Resultados_Apertura!$B$2:$B$154, B37) + COUNTIF($B$2:$B36, B37))</f>
        <v>0.9</v>
      </c>
      <c r="K38" s="10">
        <f>(SUMIF(Resultados_Apertura!$E$2:$E$154, E37, Resultados_Apertura!$D$2:$D$154) + SUMIF($E$2:$E36, E37, $D$2:$D36)) / (COUNTIF(Resultados_Apertura!$E$2:$E$154, E37) + COUNTIF($E$2:$E36, E37))</f>
        <v>0.8</v>
      </c>
      <c r="L38" s="10">
        <f>(SUMIF(Resultados_Apertura!$E$2:$E$154, E37, Resultados_Apertura!$C$2:$C$154) + SUMIF($E$2:$E36, E37, $C$2:$C36)) / (COUNTIF(Resultados_Apertura!$E$2:$E$154, E37) + COUNTIF($E$2:$E36, E37))</f>
        <v>1.7</v>
      </c>
      <c r="M38" s="9">
        <f>((I38 * L38) / Formulas!$D$2) * IF(H38&gt;=2000, 1.2, IF(H38&gt;=1000, 1.1, 1))</f>
        <v>2.546357142857143</v>
      </c>
      <c r="N38" s="9">
        <f>((K38 * J38) / Formulas!$D$6) * IF(H38&gt;=2000, 0.75, IF(H38&gt;=1000, 0.85, 1))</f>
        <v>0.49928571428571428</v>
      </c>
    </row>
    <row r="39" spans="1:14">
      <c r="A39" t="s">
        <v>75</v>
      </c>
      <c r="B39" t="s">
        <v>23</v>
      </c>
      <c r="C39">
        <v>2</v>
      </c>
      <c r="D39">
        <v>0</v>
      </c>
      <c r="E39" t="s">
        <v>32</v>
      </c>
      <c r="F39" t="s">
        <v>18</v>
      </c>
      <c r="G39">
        <f>VLOOKUP(B39,Resultados_Apertura!$B$2:$H$154,6,FALSE)</f>
        <v>3399</v>
      </c>
      <c r="H39">
        <f>VLOOKUP(E39,Resultados_Apertura!$E$2:$H$154,4,FALSE)</f>
        <v>209</v>
      </c>
      <c r="I39" s="10">
        <f>(SUMIF(Resultados_Apertura!$B$2:$B$154, B38, Resultados_Apertura!$C$2:$C$154) + SUMIF($B$2:$B37, B38, $C$2:$C37)) / (COUNTIF(Resultados_Apertura!$B$2:$B$154, B38) + COUNTIF($B$2:$B37, B38))</f>
        <v>1.1000000000000001</v>
      </c>
      <c r="J39" s="10">
        <f>(SUMIF(Resultados_Apertura!$B$2:$B$154, B38, Resultados_Apertura!$D$2:$D$154) + SUMIF($B$2:$B37, B38, $D$2:$D37)) / (COUNTIF(Resultados_Apertura!$B$2:$B$154, B38) + COUNTIF($B$2:$B37, B38))</f>
        <v>0.8</v>
      </c>
      <c r="K39" s="10">
        <f>(SUMIF(Resultados_Apertura!$E$2:$E$154, E38, Resultados_Apertura!$D$2:$D$154) + SUMIF($E$2:$E37, E38, $D$2:$D37)) / (COUNTIF(Resultados_Apertura!$E$2:$E$154, E38) + COUNTIF($E$2:$E37, E38))</f>
        <v>1.3</v>
      </c>
      <c r="L39" s="10">
        <f>(SUMIF(Resultados_Apertura!$E$2:$E$154, E38, Resultados_Apertura!$C$2:$C$154) + SUMIF($E$2:$E37, E38, $C$2:$C37)) / (COUNTIF(Resultados_Apertura!$E$2:$E$154, E38) + COUNTIF($E$2:$E37, E38))</f>
        <v>2</v>
      </c>
      <c r="M39" s="9">
        <f>((I39 * L39) / Formulas!$D$2) * IF(H39&gt;=2000, 1.2, IF(H39&gt;=1000, 1.1, 1))</f>
        <v>1.3076530612244899</v>
      </c>
      <c r="N39" s="9">
        <f>((K39 * J39) / Formulas!$D$6) * IF(H39&gt;=2000, 0.75, IF(H39&gt;=1000, 0.85, 1))</f>
        <v>0.96158730158730155</v>
      </c>
    </row>
    <row r="40" spans="1:14">
      <c r="A40" t="s">
        <v>75</v>
      </c>
      <c r="B40" t="s">
        <v>5</v>
      </c>
      <c r="C40">
        <v>1</v>
      </c>
      <c r="D40">
        <v>1</v>
      </c>
      <c r="E40" t="s">
        <v>9</v>
      </c>
      <c r="F40" t="s">
        <v>6</v>
      </c>
      <c r="G40">
        <f>VLOOKUP(B40,Resultados_Apertura!$B$2:$H$154,6,FALSE)</f>
        <v>3050</v>
      </c>
      <c r="H40">
        <f>VLOOKUP(E40,Resultados_Apertura!$E$2:$H$154,4,FALSE)</f>
        <v>60</v>
      </c>
      <c r="I40" s="10">
        <f>(SUMIF(Resultados_Apertura!$B$2:$B$154, B39, Resultados_Apertura!$C$2:$C$154) + SUMIF($B$2:$B38, B39, $C$2:$C38)) / (COUNTIF(Resultados_Apertura!$B$2:$B$154, B39) + COUNTIF($B$2:$B38, B39))</f>
        <v>1.9</v>
      </c>
      <c r="J40" s="10">
        <f>(SUMIF(Resultados_Apertura!$B$2:$B$154, B39, Resultados_Apertura!$D$2:$D$154) + SUMIF($B$2:$B38, B39, $D$2:$D38)) / (COUNTIF(Resultados_Apertura!$B$2:$B$154, B39) + COUNTIF($B$2:$B38, B39))</f>
        <v>0.8</v>
      </c>
      <c r="K40" s="10">
        <f>(SUMIF(Resultados_Apertura!$E$2:$E$154, E39, Resultados_Apertura!$D$2:$D$154) + SUMIF($E$2:$E38, E39, $D$2:$D38)) / (COUNTIF(Resultados_Apertura!$E$2:$E$154, E39) + COUNTIF($E$2:$E38, E39))</f>
        <v>1.1000000000000001</v>
      </c>
      <c r="L40" s="10">
        <f>(SUMIF(Resultados_Apertura!$E$2:$E$154, E39, Resultados_Apertura!$C$2:$C$154) + SUMIF($E$2:$E38, E39, $C$2:$C38)) / (COUNTIF(Resultados_Apertura!$E$2:$E$154, E39) + COUNTIF($E$2:$E38, E39))</f>
        <v>2.5</v>
      </c>
      <c r="M40" s="9">
        <f>((I40 * L40) / Formulas!$D$2) * IF(H40&gt;=2000, 1.2, IF(H40&gt;=1000, 1.1, 1))</f>
        <v>2.8233418367346936</v>
      </c>
      <c r="N40" s="9">
        <f>((K40 * J40) / Formulas!$D$6) * IF(H40&gt;=2000, 0.75, IF(H40&gt;=1000, 0.85, 1))</f>
        <v>0.81365079365079374</v>
      </c>
    </row>
    <row r="41" spans="1:14">
      <c r="A41" t="s">
        <v>75</v>
      </c>
      <c r="B41" t="s">
        <v>35</v>
      </c>
      <c r="C41">
        <v>0</v>
      </c>
      <c r="D41">
        <v>3</v>
      </c>
      <c r="E41" t="s">
        <v>37</v>
      </c>
      <c r="F41" t="s">
        <v>36</v>
      </c>
      <c r="G41">
        <f>VLOOKUP(B41,Resultados_Apertura!$B$2:$H$154,6,FALSE)</f>
        <v>2926</v>
      </c>
      <c r="H41">
        <f>VLOOKUP(E41,Resultados_Apertura!$E$2:$H$154,4,FALSE)</f>
        <v>2335</v>
      </c>
      <c r="I41" s="10">
        <f>(SUMIF(Resultados_Apertura!$B$2:$B$154, B40, Resultados_Apertura!$C$2:$C$154) + SUMIF($B$2:$B39, B40, $C$2:$C39)) / (COUNTIF(Resultados_Apertura!$B$2:$B$154, B40) + COUNTIF($B$2:$B39, B40))</f>
        <v>1.3636363636363635</v>
      </c>
      <c r="J41" s="10">
        <f>(SUMIF(Resultados_Apertura!$B$2:$B$154, B40, Resultados_Apertura!$D$2:$D$154) + SUMIF($B$2:$B39, B40, $D$2:$D39)) / (COUNTIF(Resultados_Apertura!$B$2:$B$154, B40) + COUNTIF($B$2:$B39, B40))</f>
        <v>1.0909090909090908</v>
      </c>
      <c r="K41" s="10">
        <f>(SUMIF(Resultados_Apertura!$E$2:$E$154, E40, Resultados_Apertura!$D$2:$D$154) + SUMIF($E$2:$E39, E40, $D$2:$D39)) / (COUNTIF(Resultados_Apertura!$E$2:$E$154, E40) + COUNTIF($E$2:$E39, E40))</f>
        <v>1</v>
      </c>
      <c r="L41" s="10">
        <f>(SUMIF(Resultados_Apertura!$E$2:$E$154, E40, Resultados_Apertura!$C$2:$C$154) + SUMIF($E$2:$E39, E40, $C$2:$C39)) / (COUNTIF(Resultados_Apertura!$E$2:$E$154, E40) + COUNTIF($E$2:$E39, E40))</f>
        <v>1.8181818181818181</v>
      </c>
      <c r="M41" s="9">
        <f>((I41 * L41) / Formulas!$D$2) * IF(H41&gt;=2000, 1.2, IF(H41&gt;=1000, 1.1, 1))</f>
        <v>1.7684263788159889</v>
      </c>
      <c r="N41" s="9">
        <f>((K41 * J41) / Formulas!$D$6) * IF(H41&gt;=2000, 0.75, IF(H41&gt;=1000, 0.85, 1))</f>
        <v>0.75649350649350644</v>
      </c>
    </row>
    <row r="42" spans="1:14">
      <c r="A42" t="s">
        <v>75</v>
      </c>
      <c r="B42" t="s">
        <v>12</v>
      </c>
      <c r="C42">
        <v>1</v>
      </c>
      <c r="D42">
        <v>0</v>
      </c>
      <c r="E42" t="s">
        <v>44</v>
      </c>
      <c r="F42" t="s">
        <v>13</v>
      </c>
      <c r="G42">
        <f>VLOOKUP(B42,Resultados_Apertura!$B$2:$H$154,6,FALSE)</f>
        <v>150</v>
      </c>
      <c r="H42">
        <f>VLOOKUP(E42,Resultados_Apertura!$E$2:$H$154,4,FALSE)</f>
        <v>2750</v>
      </c>
      <c r="I42" s="10">
        <f>(SUMIF(Resultados_Apertura!$B$2:$B$154, B41, Resultados_Apertura!$C$2:$C$154) + SUMIF($B$2:$B40, B41, $C$2:$C40)) / (COUNTIF(Resultados_Apertura!$B$2:$B$154, B41) + COUNTIF($B$2:$B40, B41))</f>
        <v>1.8181818181818181</v>
      </c>
      <c r="J42" s="10">
        <f>(SUMIF(Resultados_Apertura!$B$2:$B$154, B41, Resultados_Apertura!$D$2:$D$154) + SUMIF($B$2:$B40, B41, $D$2:$D40)) / (COUNTIF(Resultados_Apertura!$B$2:$B$154, B41) + COUNTIF($B$2:$B40, B41))</f>
        <v>0.90909090909090906</v>
      </c>
      <c r="K42" s="10">
        <f>(SUMIF(Resultados_Apertura!$E$2:$E$154, E41, Resultados_Apertura!$D$2:$D$154) + SUMIF($E$2:$E40, E41, $D$2:$D40)) / (COUNTIF(Resultados_Apertura!$E$2:$E$154, E41) + COUNTIF($E$2:$E40, E41))</f>
        <v>1.3</v>
      </c>
      <c r="L42" s="10">
        <f>(SUMIF(Resultados_Apertura!$E$2:$E$154, E41, Resultados_Apertura!$C$2:$C$154) + SUMIF($E$2:$E40, E41, $C$2:$C40)) / (COUNTIF(Resultados_Apertura!$E$2:$E$154, E41) + COUNTIF($E$2:$E40, E41))</f>
        <v>1.3</v>
      </c>
      <c r="M42" s="9">
        <f>((I42 * L42) / Formulas!$D$2) * IF(H42&gt;=2000, 1.2, IF(H42&gt;=1000, 1.1, 1))</f>
        <v>1.6858998144712429</v>
      </c>
      <c r="N42" s="9">
        <f>((K42 * J42) / Formulas!$D$6) * IF(H42&gt;=2000, 0.75, IF(H42&gt;=1000, 0.85, 1))</f>
        <v>0.81953463203463206</v>
      </c>
    </row>
    <row r="43" spans="1:14">
      <c r="A43" t="s">
        <v>75</v>
      </c>
      <c r="B43" t="s">
        <v>42</v>
      </c>
      <c r="C43">
        <v>4</v>
      </c>
      <c r="D43">
        <v>1</v>
      </c>
      <c r="E43" t="s">
        <v>24</v>
      </c>
      <c r="F43" t="s">
        <v>13</v>
      </c>
      <c r="G43">
        <f>VLOOKUP(B43,Resultados_Apertura!$B$2:$H$154,6,FALSE)</f>
        <v>150</v>
      </c>
      <c r="H43">
        <f>VLOOKUP(E43,Resultados_Apertura!$E$2:$H$154,4,FALSE)</f>
        <v>3259</v>
      </c>
      <c r="I43" s="10">
        <f>(SUMIF(Resultados_Apertura!$B$2:$B$154, B42, Resultados_Apertura!$C$2:$C$154) + SUMIF($B$2:$B41, B42, $C$2:$C41)) / (COUNTIF(Resultados_Apertura!$B$2:$B$154, B42) + COUNTIF($B$2:$B41, B42))</f>
        <v>2.7</v>
      </c>
      <c r="J43" s="10">
        <f>(SUMIF(Resultados_Apertura!$B$2:$B$154, B42, Resultados_Apertura!$D$2:$D$154) + SUMIF($B$2:$B41, B42, $D$2:$D41)) / (COUNTIF(Resultados_Apertura!$B$2:$B$154, B42) + COUNTIF($B$2:$B41, B42))</f>
        <v>0.6</v>
      </c>
      <c r="K43" s="10">
        <f>(SUMIF(Resultados_Apertura!$E$2:$E$154, E42, Resultados_Apertura!$D$2:$D$154) + SUMIF($E$2:$E41, E42, $D$2:$D41)) / (COUNTIF(Resultados_Apertura!$E$2:$E$154, E42) + COUNTIF($E$2:$E41, E42))</f>
        <v>1.2727272727272727</v>
      </c>
      <c r="L43" s="10">
        <f>(SUMIF(Resultados_Apertura!$E$2:$E$154, E42, Resultados_Apertura!$C$2:$C$154) + SUMIF($E$2:$E41, E42, $C$2:$C41)) / (COUNTIF(Resultados_Apertura!$E$2:$E$154, E42) + COUNTIF($E$2:$E41, E42))</f>
        <v>2.2727272727272729</v>
      </c>
      <c r="M43" s="9">
        <f>((I43 * L43) / Formulas!$D$2) * IF(H43&gt;=2000, 1.2, IF(H43&gt;=1000, 1.1, 1))</f>
        <v>4.3768552875695734</v>
      </c>
      <c r="N43" s="9">
        <f>((K43 * J43) / Formulas!$D$6) * IF(H43&gt;=2000, 0.75, IF(H43&gt;=1000, 0.85, 1))</f>
        <v>0.52954545454545443</v>
      </c>
    </row>
    <row r="44" spans="1:14">
      <c r="A44" t="s">
        <v>75</v>
      </c>
      <c r="B44" t="s">
        <v>27</v>
      </c>
      <c r="C44">
        <v>1</v>
      </c>
      <c r="D44">
        <v>1</v>
      </c>
      <c r="E44" t="s">
        <v>39</v>
      </c>
      <c r="F44" t="s">
        <v>28</v>
      </c>
      <c r="G44">
        <f>VLOOKUP(B44,Resultados_Apertura!$B$2:$H$154,6,FALSE)</f>
        <v>1410</v>
      </c>
      <c r="H44">
        <f>VLOOKUP(E44,Resultados_Apertura!$E$2:$H$154,4,FALSE)</f>
        <v>5</v>
      </c>
      <c r="I44" s="10">
        <f>(SUMIF(Resultados_Apertura!$B$2:$B$154, B43, Resultados_Apertura!$C$2:$C$154) + SUMIF($B$2:$B42, B43, $C$2:$C42)) / (COUNTIF(Resultados_Apertura!$B$2:$B$154, B43) + COUNTIF($B$2:$B42, B43))</f>
        <v>2</v>
      </c>
      <c r="J44" s="10">
        <f>(SUMIF(Resultados_Apertura!$B$2:$B$154, B43, Resultados_Apertura!$D$2:$D$154) + SUMIF($B$2:$B42, B43, $D$2:$D42)) / (COUNTIF(Resultados_Apertura!$B$2:$B$154, B43) + COUNTIF($B$2:$B42, B43))</f>
        <v>1.2</v>
      </c>
      <c r="K44" s="10">
        <f>(SUMIF(Resultados_Apertura!$E$2:$E$154, E43, Resultados_Apertura!$D$2:$D$154) + SUMIF($E$2:$E42, E43, $D$2:$D42)) / (COUNTIF(Resultados_Apertura!$E$2:$E$154, E43) + COUNTIF($E$2:$E42, E43))</f>
        <v>1.0909090909090908</v>
      </c>
      <c r="L44" s="10">
        <f>(SUMIF(Resultados_Apertura!$E$2:$E$154, E43, Resultados_Apertura!$C$2:$C$154) + SUMIF($E$2:$E42, E43, $C$2:$C42)) / (COUNTIF(Resultados_Apertura!$E$2:$E$154, E43) + COUNTIF($E$2:$E42, E43))</f>
        <v>2.1818181818181817</v>
      </c>
      <c r="M44" s="9">
        <f>((I44 * L44) / Formulas!$D$2) * IF(H44&gt;=2000, 1.2, IF(H44&gt;=1000, 1.1, 1))</f>
        <v>2.5936920222634505</v>
      </c>
      <c r="N44" s="9">
        <f>((K44 * J44) / Formulas!$D$6) * IF(H44&gt;=2000, 0.75, IF(H44&gt;=1000, 0.85, 1))</f>
        <v>1.2103896103896101</v>
      </c>
    </row>
    <row r="45" spans="1:14">
      <c r="A45" t="s">
        <v>75</v>
      </c>
      <c r="B45" t="s">
        <v>30</v>
      </c>
      <c r="C45">
        <v>2</v>
      </c>
      <c r="D45">
        <v>3</v>
      </c>
      <c r="E45" t="s">
        <v>43</v>
      </c>
      <c r="F45" t="s">
        <v>31</v>
      </c>
      <c r="G45">
        <f>VLOOKUP(B45,Resultados_Apertura!$B$2:$H$154,6,FALSE)</f>
        <v>2750</v>
      </c>
      <c r="H45">
        <f>VLOOKUP(E45,Resultados_Apertura!$E$2:$H$154,4,FALSE)</f>
        <v>150</v>
      </c>
      <c r="I45" s="10">
        <f>(SUMIF(Resultados_Apertura!$B$2:$B$154, B44, Resultados_Apertura!$C$2:$C$154) + SUMIF($B$2:$B43, B44, $C$2:$C43)) / (COUNTIF(Resultados_Apertura!$B$2:$B$154, B44) + COUNTIF($B$2:$B43, B44))</f>
        <v>1.5</v>
      </c>
      <c r="J45" s="10">
        <f>(SUMIF(Resultados_Apertura!$B$2:$B$154, B44, Resultados_Apertura!$D$2:$D$154) + SUMIF($B$2:$B43, B44, $D$2:$D43)) / (COUNTIF(Resultados_Apertura!$B$2:$B$154, B44) + COUNTIF($B$2:$B43, B44))</f>
        <v>1.1000000000000001</v>
      </c>
      <c r="K45" s="10">
        <f>(SUMIF(Resultados_Apertura!$E$2:$E$154, E44, Resultados_Apertura!$D$2:$D$154) + SUMIF($E$2:$E43, E44, $D$2:$D43)) / (COUNTIF(Resultados_Apertura!$E$2:$E$154, E44) + COUNTIF($E$2:$E43, E44))</f>
        <v>0.7</v>
      </c>
      <c r="L45" s="10">
        <f>(SUMIF(Resultados_Apertura!$E$2:$E$154, E44, Resultados_Apertura!$C$2:$C$154) + SUMIF($E$2:$E43, E44, $C$2:$C43)) / (COUNTIF(Resultados_Apertura!$E$2:$E$154, E44) + COUNTIF($E$2:$E43, E44))</f>
        <v>1.5</v>
      </c>
      <c r="M45" s="9">
        <f>((I45 * L45) / Formulas!$D$2) * IF(H45&gt;=2000, 1.2, IF(H45&gt;=1000, 1.1, 1))</f>
        <v>1.3373724489795917</v>
      </c>
      <c r="N45" s="9">
        <f>((K45 * J45) / Formulas!$D$6) * IF(H45&gt;=2000, 0.75, IF(H45&gt;=1000, 0.85, 1))</f>
        <v>0.71194444444444438</v>
      </c>
    </row>
    <row r="46" spans="1:14">
      <c r="A46" t="s">
        <v>75</v>
      </c>
      <c r="B46" t="s">
        <v>17</v>
      </c>
      <c r="C46">
        <v>0</v>
      </c>
      <c r="D46">
        <v>0</v>
      </c>
      <c r="E46" t="s">
        <v>26</v>
      </c>
      <c r="F46" t="s">
        <v>18</v>
      </c>
      <c r="G46">
        <f>VLOOKUP(B46,Resultados_Apertura!$B$2:$H$154,6,FALSE)</f>
        <v>3399</v>
      </c>
      <c r="H46">
        <f>VLOOKUP(E46,Resultados_Apertura!$E$2:$H$154,4,FALSE)</f>
        <v>3399</v>
      </c>
      <c r="I46" s="10">
        <f>(SUMIF(Resultados_Apertura!$B$2:$B$154, B45, Resultados_Apertura!$C$2:$C$154) + SUMIF($B$2:$B44, B45, $C$2:$C44)) / (COUNTIF(Resultados_Apertura!$B$2:$B$154, B45) + COUNTIF($B$2:$B44, B45))</f>
        <v>1.8</v>
      </c>
      <c r="J46" s="10">
        <f>(SUMIF(Resultados_Apertura!$B$2:$B$154, B45, Resultados_Apertura!$D$2:$D$154) + SUMIF($B$2:$B44, B45, $D$2:$D44)) / (COUNTIF(Resultados_Apertura!$B$2:$B$154, B45) + COUNTIF($B$2:$B44, B45))</f>
        <v>1.7</v>
      </c>
      <c r="K46" s="10">
        <f>(SUMIF(Resultados_Apertura!$E$2:$E$154, E45, Resultados_Apertura!$D$2:$D$154) + SUMIF($E$2:$E44, E45, $D$2:$D44)) / (COUNTIF(Resultados_Apertura!$E$2:$E$154, E45) + COUNTIF($E$2:$E44, E45))</f>
        <v>1.1000000000000001</v>
      </c>
      <c r="L46" s="10">
        <f>(SUMIF(Resultados_Apertura!$E$2:$E$154, E45, Resultados_Apertura!$C$2:$C$154) + SUMIF($E$2:$E44, E45, $C$2:$C44)) / (COUNTIF(Resultados_Apertura!$E$2:$E$154, E45) + COUNTIF($E$2:$E44, E45))</f>
        <v>1.2</v>
      </c>
      <c r="M46" s="9">
        <f>((I46 * L46) / Formulas!$D$2) * IF(H46&gt;=2000, 1.2, IF(H46&gt;=1000, 1.1, 1))</f>
        <v>1.5406530612244898</v>
      </c>
      <c r="N46" s="9">
        <f>((K46 * J46) / Formulas!$D$6) * IF(H46&gt;=2000, 0.75, IF(H46&gt;=1000, 0.85, 1))</f>
        <v>1.2967559523809524</v>
      </c>
    </row>
    <row r="47" spans="1:14">
      <c r="A47" t="s">
        <v>76</v>
      </c>
      <c r="B47" t="s">
        <v>30</v>
      </c>
      <c r="C47">
        <v>1</v>
      </c>
      <c r="D47">
        <v>3</v>
      </c>
      <c r="E47" t="s">
        <v>15</v>
      </c>
      <c r="F47" t="s">
        <v>31</v>
      </c>
      <c r="G47">
        <f>VLOOKUP(B47,Resultados_Apertura!$B$2:$H$154,6,FALSE)</f>
        <v>2750</v>
      </c>
      <c r="H47">
        <f>VLOOKUP(E47,Resultados_Apertura!$E$2:$H$154,4,FALSE)</f>
        <v>29</v>
      </c>
      <c r="I47" s="10">
        <f>(SUMIF(Resultados_Apertura!$B$2:$B$154, B46, Resultados_Apertura!$C$2:$C$154) + SUMIF($B$2:$B45, B46, $C$2:$C45)) / (COUNTIF(Resultados_Apertura!$B$2:$B$154, B46) + COUNTIF($B$2:$B45, B46))</f>
        <v>2.2727272727272729</v>
      </c>
      <c r="J47" s="10">
        <f>(SUMIF(Resultados_Apertura!$B$2:$B$154, B46, Resultados_Apertura!$D$2:$D$154) + SUMIF($B$2:$B45, B46, $D$2:$D45)) / (COUNTIF(Resultados_Apertura!$B$2:$B$154, B46) + COUNTIF($B$2:$B45, B46))</f>
        <v>1.0909090909090908</v>
      </c>
      <c r="K47" s="10">
        <f>(SUMIF(Resultados_Apertura!$E$2:$E$154, E46, Resultados_Apertura!$D$2:$D$154) + SUMIF($E$2:$E45, E46, $D$2:$D45)) / (COUNTIF(Resultados_Apertura!$E$2:$E$154, E46) + COUNTIF($E$2:$E45, E46))</f>
        <v>0.5</v>
      </c>
      <c r="L47" s="10">
        <f>(SUMIF(Resultados_Apertura!$E$2:$E$154, E46, Resultados_Apertura!$C$2:$C$154) + SUMIF($E$2:$E45, E46, $C$2:$C45)) / (COUNTIF(Resultados_Apertura!$E$2:$E$154, E46) + COUNTIF($E$2:$E45, E46))</f>
        <v>1</v>
      </c>
      <c r="M47" s="9">
        <f>((I47 * L47) / Formulas!$D$2) * IF(H47&gt;=2000, 1.2, IF(H47&gt;=1000, 1.1, 1))</f>
        <v>1.3508812615955474</v>
      </c>
      <c r="N47" s="9">
        <f>((K47 * J47) / Formulas!$D$6) * IF(H47&gt;=2000, 0.75, IF(H47&gt;=1000, 0.85, 1))</f>
        <v>0.50432900432900429</v>
      </c>
    </row>
    <row r="48" spans="1:14">
      <c r="A48" t="s">
        <v>76</v>
      </c>
      <c r="B48" t="s">
        <v>9</v>
      </c>
      <c r="C48">
        <v>3</v>
      </c>
      <c r="D48">
        <v>1</v>
      </c>
      <c r="E48" t="s">
        <v>42</v>
      </c>
      <c r="F48" t="s">
        <v>10</v>
      </c>
      <c r="G48">
        <f>VLOOKUP(B48,Resultados_Apertura!$B$2:$H$154,6,FALSE)</f>
        <v>60</v>
      </c>
      <c r="H48">
        <f>VLOOKUP(E48,Resultados_Apertura!$E$2:$H$154,4,FALSE)</f>
        <v>150</v>
      </c>
      <c r="I48" s="10">
        <f>(SUMIF(Resultados_Apertura!$B$2:$B$154, B47, Resultados_Apertura!$C$2:$C$154) + SUMIF($B$2:$B46, B47, $C$2:$C46)) / (COUNTIF(Resultados_Apertura!$B$2:$B$154, B47) + COUNTIF($B$2:$B46, B47))</f>
        <v>1.8181818181818181</v>
      </c>
      <c r="J48" s="10">
        <f>(SUMIF(Resultados_Apertura!$B$2:$B$154, B47, Resultados_Apertura!$D$2:$D$154) + SUMIF($B$2:$B46, B47, $D$2:$D46)) / (COUNTIF(Resultados_Apertura!$B$2:$B$154, B47) + COUNTIF($B$2:$B46, B47))</f>
        <v>1.8181818181818181</v>
      </c>
      <c r="K48" s="10">
        <f>(SUMIF(Resultados_Apertura!$E$2:$E$154, E47, Resultados_Apertura!$D$2:$D$154) + SUMIF($E$2:$E46, E47, $D$2:$D46)) / (COUNTIF(Resultados_Apertura!$E$2:$E$154, E47) + COUNTIF($E$2:$E46, E47))</f>
        <v>0.36363636363636365</v>
      </c>
      <c r="L48" s="10">
        <f>(SUMIF(Resultados_Apertura!$E$2:$E$154, E47, Resultados_Apertura!$C$2:$C$154) + SUMIF($E$2:$E46, E47, $C$2:$C46)) / (COUNTIF(Resultados_Apertura!$E$2:$E$154, E47) + COUNTIF($E$2:$E46, E47))</f>
        <v>1.2727272727272727</v>
      </c>
      <c r="M48" s="9">
        <f>((I48 * L48) / Formulas!$D$2) * IF(H48&gt;=2000, 1.2, IF(H48&gt;=1000, 1.1, 1))</f>
        <v>1.3754427390791026</v>
      </c>
      <c r="N48" s="9">
        <f>((K48 * J48) / Formulas!$D$6) * IF(H48&gt;=2000, 0.75, IF(H48&gt;=1000, 0.85, 1))</f>
        <v>0.61130788403515668</v>
      </c>
    </row>
    <row r="49" spans="1:14">
      <c r="A49" t="s">
        <v>76</v>
      </c>
      <c r="B49" t="s">
        <v>24</v>
      </c>
      <c r="C49">
        <v>0</v>
      </c>
      <c r="D49">
        <v>2</v>
      </c>
      <c r="E49" t="s">
        <v>27</v>
      </c>
      <c r="F49" t="s">
        <v>25</v>
      </c>
      <c r="G49">
        <f>VLOOKUP(B49,Resultados_Apertura!$B$2:$H$154,6,FALSE)</f>
        <v>3259</v>
      </c>
      <c r="H49">
        <f>VLOOKUP(E49,Resultados_Apertura!$E$2:$H$154,4,FALSE)</f>
        <v>1410</v>
      </c>
      <c r="I49" s="10">
        <f>(SUMIF(Resultados_Apertura!$B$2:$B$154, B48, Resultados_Apertura!$C$2:$C$154) + SUMIF($B$2:$B47, B48, $C$2:$C47)) / (COUNTIF(Resultados_Apertura!$B$2:$B$154, B48) + COUNTIF($B$2:$B47, B48))</f>
        <v>1.5</v>
      </c>
      <c r="J49" s="10">
        <f>(SUMIF(Resultados_Apertura!$B$2:$B$154, B48, Resultados_Apertura!$D$2:$D$154) + SUMIF($B$2:$B47, B48, $D$2:$D47)) / (COUNTIF(Resultados_Apertura!$B$2:$B$154, B48) + COUNTIF($B$2:$B47, B48))</f>
        <v>0.6</v>
      </c>
      <c r="K49" s="10">
        <f>(SUMIF(Resultados_Apertura!$E$2:$E$154, E48, Resultados_Apertura!$D$2:$D$154) + SUMIF($E$2:$E47, E48, $D$2:$D47)) / (COUNTIF(Resultados_Apertura!$E$2:$E$154, E48) + COUNTIF($E$2:$E47, E48))</f>
        <v>1.1818181818181819</v>
      </c>
      <c r="L49" s="10">
        <f>(SUMIF(Resultados_Apertura!$E$2:$E$154, E48, Resultados_Apertura!$C$2:$C$154) + SUMIF($E$2:$E47, E48, $C$2:$C47)) / (COUNTIF(Resultados_Apertura!$E$2:$E$154, E48) + COUNTIF($E$2:$E47, E48))</f>
        <v>1.9090909090909092</v>
      </c>
      <c r="M49" s="9">
        <f>((I49 * L49) / Formulas!$D$2) * IF(H49&gt;=2000, 1.2, IF(H49&gt;=1000, 1.1, 1))</f>
        <v>1.8723214285714289</v>
      </c>
      <c r="N49" s="9">
        <f>((K49 * J49) / Formulas!$D$6) * IF(H49&gt;=2000, 0.75, IF(H49&gt;=1000, 0.85, 1))</f>
        <v>0.55728354978354966</v>
      </c>
    </row>
    <row r="50" spans="1:14">
      <c r="A50" t="s">
        <v>76</v>
      </c>
      <c r="B50" t="s">
        <v>44</v>
      </c>
      <c r="C50">
        <v>1</v>
      </c>
      <c r="D50">
        <v>3</v>
      </c>
      <c r="E50" t="s">
        <v>19</v>
      </c>
      <c r="F50" t="s">
        <v>31</v>
      </c>
      <c r="G50">
        <f>VLOOKUP(B50,Resultados_Apertura!$B$2:$H$154,6,FALSE)</f>
        <v>2750</v>
      </c>
      <c r="H50">
        <f>VLOOKUP(E50,Resultados_Apertura!$E$2:$H$154,4,FALSE)</f>
        <v>2637</v>
      </c>
      <c r="I50" s="10">
        <f>(SUMIF(Resultados_Apertura!$B$2:$B$154, B49, Resultados_Apertura!$C$2:$C$154) + SUMIF($B$2:$B48, B49, $C$2:$C48)) / (COUNTIF(Resultados_Apertura!$B$2:$B$154, B49) + COUNTIF($B$2:$B48, B49))</f>
        <v>1.5</v>
      </c>
      <c r="J50" s="10">
        <f>(SUMIF(Resultados_Apertura!$B$2:$B$154, B49, Resultados_Apertura!$D$2:$D$154) + SUMIF($B$2:$B48, B49, $D$2:$D48)) / (COUNTIF(Resultados_Apertura!$B$2:$B$154, B49) + COUNTIF($B$2:$B48, B49))</f>
        <v>1</v>
      </c>
      <c r="K50" s="10">
        <f>(SUMIF(Resultados_Apertura!$E$2:$E$154, E49, Resultados_Apertura!$D$2:$D$154) + SUMIF($E$2:$E48, E49, $D$2:$D48)) / (COUNTIF(Resultados_Apertura!$E$2:$E$154, E49) + COUNTIF($E$2:$E48, E49))</f>
        <v>0.36363636363636365</v>
      </c>
      <c r="L50" s="10">
        <f>(SUMIF(Resultados_Apertura!$E$2:$E$154, E49, Resultados_Apertura!$C$2:$C$154) + SUMIF($E$2:$E48, E49, $C$2:$C48)) / (COUNTIF(Resultados_Apertura!$E$2:$E$154, E49) + COUNTIF($E$2:$E48, E49))</f>
        <v>1.5454545454545454</v>
      </c>
      <c r="M50" s="9">
        <f>((I50 * L50) / Formulas!$D$2) * IF(H50&gt;=2000, 1.2, IF(H50&gt;=1000, 1.1, 1))</f>
        <v>1.65347866419295</v>
      </c>
      <c r="N50" s="9">
        <f>((K50 * J50) / Formulas!$D$6) * IF(H50&gt;=2000, 0.75, IF(H50&gt;=1000, 0.85, 1))</f>
        <v>0.25216450216450215</v>
      </c>
    </row>
    <row r="51" spans="1:14">
      <c r="A51" t="s">
        <v>76</v>
      </c>
      <c r="B51" t="s">
        <v>32</v>
      </c>
      <c r="C51">
        <v>5</v>
      </c>
      <c r="D51">
        <v>1</v>
      </c>
      <c r="E51" t="s">
        <v>5</v>
      </c>
      <c r="F51" t="s">
        <v>33</v>
      </c>
      <c r="G51">
        <f>VLOOKUP(B51,Resultados_Apertura!$B$2:$H$154,6,FALSE)</f>
        <v>209</v>
      </c>
      <c r="H51">
        <f>VLOOKUP(E51,Resultados_Apertura!$E$2:$H$154,4,FALSE)</f>
        <v>3050</v>
      </c>
      <c r="I51" s="10">
        <f>(SUMIF(Resultados_Apertura!$B$2:$B$154, B50, Resultados_Apertura!$C$2:$C$154) + SUMIF($B$2:$B49, B50, $C$2:$C49)) / (COUNTIF(Resultados_Apertura!$B$2:$B$154, B50) + COUNTIF($B$2:$B49, B50))</f>
        <v>1</v>
      </c>
      <c r="J51" s="10">
        <f>(SUMIF(Resultados_Apertura!$B$2:$B$154, B50, Resultados_Apertura!$D$2:$D$154) + SUMIF($B$2:$B49, B50, $D$2:$D49)) / (COUNTIF(Resultados_Apertura!$B$2:$B$154, B50) + COUNTIF($B$2:$B49, B50))</f>
        <v>0.9</v>
      </c>
      <c r="K51" s="10">
        <f>(SUMIF(Resultados_Apertura!$E$2:$E$154, E50, Resultados_Apertura!$D$2:$D$154) + SUMIF($E$2:$E49, E50, $D$2:$D49)) / (COUNTIF(Resultados_Apertura!$E$2:$E$154, E50) + COUNTIF($E$2:$E49, E50))</f>
        <v>1.1818181818181819</v>
      </c>
      <c r="L51" s="10">
        <f>(SUMIF(Resultados_Apertura!$E$2:$E$154, E50, Resultados_Apertura!$C$2:$C$154) + SUMIF($E$2:$E49, E50, $C$2:$C49)) / (COUNTIF(Resultados_Apertura!$E$2:$E$154, E50) + COUNTIF($E$2:$E49, E50))</f>
        <v>1.9090909090909092</v>
      </c>
      <c r="M51" s="9">
        <f>((I51 * L51) / Formulas!$D$2) * IF(H51&gt;=2000, 1.2, IF(H51&gt;=1000, 1.1, 1))</f>
        <v>1.3616883116883118</v>
      </c>
      <c r="N51" s="9">
        <f>((K51 * J51) / Formulas!$D$6) * IF(H51&gt;=2000, 0.75, IF(H51&gt;=1000, 0.85, 1))</f>
        <v>0.73758116883116887</v>
      </c>
    </row>
    <row r="52" spans="1:14">
      <c r="A52" t="s">
        <v>76</v>
      </c>
      <c r="B52" t="s">
        <v>26</v>
      </c>
      <c r="C52">
        <v>4</v>
      </c>
      <c r="D52">
        <v>1</v>
      </c>
      <c r="E52" t="s">
        <v>23</v>
      </c>
      <c r="F52" t="s">
        <v>18</v>
      </c>
      <c r="G52">
        <f>VLOOKUP(B52,Resultados_Apertura!$B$2:$H$154,6,FALSE)</f>
        <v>3399</v>
      </c>
      <c r="H52">
        <f>VLOOKUP(E52,Resultados_Apertura!$E$2:$H$154,4,FALSE)</f>
        <v>3399</v>
      </c>
      <c r="I52" s="10">
        <f>(SUMIF(Resultados_Apertura!$B$2:$B$154, B51, Resultados_Apertura!$C$2:$C$154) + SUMIF($B$2:$B50, B51, $C$2:$C50)) / (COUNTIF(Resultados_Apertura!$B$2:$B$154, B51) + COUNTIF($B$2:$B50, B51))</f>
        <v>1.3636363636363635</v>
      </c>
      <c r="J52" s="10">
        <f>(SUMIF(Resultados_Apertura!$B$2:$B$154, B51, Resultados_Apertura!$D$2:$D$154) + SUMIF($B$2:$B50, B51, $D$2:$D50)) / (COUNTIF(Resultados_Apertura!$B$2:$B$154, B51) + COUNTIF($B$2:$B50, B51))</f>
        <v>1.7272727272727273</v>
      </c>
      <c r="K52" s="10">
        <f>(SUMIF(Resultados_Apertura!$E$2:$E$154, E51, Resultados_Apertura!$D$2:$D$154) + SUMIF($E$2:$E50, E51, $D$2:$D50)) / (COUNTIF(Resultados_Apertura!$E$2:$E$154, E51) + COUNTIF($E$2:$E50, E51))</f>
        <v>0.9</v>
      </c>
      <c r="L52" s="10">
        <f>(SUMIF(Resultados_Apertura!$E$2:$E$154, E51, Resultados_Apertura!$C$2:$C$154) + SUMIF($E$2:$E50, E51, $C$2:$C50)) / (COUNTIF(Resultados_Apertura!$E$2:$E$154, E51) + COUNTIF($E$2:$E50, E51))</f>
        <v>1.5</v>
      </c>
      <c r="M52" s="9">
        <f>((I52 * L52) / Formulas!$D$2) * IF(H52&gt;=2000, 1.2, IF(H52&gt;=1000, 1.1, 1))</f>
        <v>1.4589517625231909</v>
      </c>
      <c r="N52" s="9">
        <f>((K52 * J52) / Formulas!$D$6) * IF(H52&gt;=2000, 0.75, IF(H52&gt;=1000, 0.85, 1))</f>
        <v>1.0780032467532468</v>
      </c>
    </row>
    <row r="53" spans="1:14">
      <c r="A53" t="s">
        <v>76</v>
      </c>
      <c r="B53" t="s">
        <v>39</v>
      </c>
      <c r="C53">
        <v>5</v>
      </c>
      <c r="D53">
        <v>1</v>
      </c>
      <c r="E53" t="s">
        <v>17</v>
      </c>
      <c r="F53" t="s">
        <v>40</v>
      </c>
      <c r="G53">
        <f>VLOOKUP(B53,Resultados_Apertura!$B$2:$H$154,6,FALSE)</f>
        <v>5</v>
      </c>
      <c r="H53">
        <f>VLOOKUP(E53,Resultados_Apertura!$E$2:$H$154,4,FALSE)</f>
        <v>3399</v>
      </c>
      <c r="I53" s="10">
        <f>(SUMIF(Resultados_Apertura!$B$2:$B$154, B52, Resultados_Apertura!$C$2:$C$154) + SUMIF($B$2:$B51, B52, $C$2:$C51)) / (COUNTIF(Resultados_Apertura!$B$2:$B$154, B52) + COUNTIF($B$2:$B51, B52))</f>
        <v>1.9090909090909092</v>
      </c>
      <c r="J53" s="10">
        <f>(SUMIF(Resultados_Apertura!$B$2:$B$154, B52, Resultados_Apertura!$D$2:$D$154) + SUMIF($B$2:$B51, B52, $D$2:$D51)) / (COUNTIF(Resultados_Apertura!$B$2:$B$154, B52) + COUNTIF($B$2:$B51, B52))</f>
        <v>0.90909090909090906</v>
      </c>
      <c r="K53" s="10">
        <f>(SUMIF(Resultados_Apertura!$E$2:$E$154, E52, Resultados_Apertura!$D$2:$D$154) + SUMIF($E$2:$E51, E52, $D$2:$D51)) / (COUNTIF(Resultados_Apertura!$E$2:$E$154, E52) + COUNTIF($E$2:$E51, E52))</f>
        <v>1.0909090909090908</v>
      </c>
      <c r="L53" s="10">
        <f>(SUMIF(Resultados_Apertura!$E$2:$E$154, E52, Resultados_Apertura!$C$2:$C$154) + SUMIF($E$2:$E51, E52, $C$2:$C51)) / (COUNTIF(Resultados_Apertura!$E$2:$E$154, E52) + COUNTIF($E$2:$E51, E52))</f>
        <v>2.0909090909090908</v>
      </c>
      <c r="M53" s="9">
        <f>((I53 * L53) / Formulas!$D$2) * IF(H53&gt;=2000, 1.2, IF(H53&gt;=1000, 1.1, 1))</f>
        <v>2.8471664698937422</v>
      </c>
      <c r="N53" s="9">
        <f>((K53 * J53) / Formulas!$D$6) * IF(H53&gt;=2000, 0.75, IF(H53&gt;=1000, 0.85, 1))</f>
        <v>0.68772136953955121</v>
      </c>
    </row>
    <row r="54" spans="1:14">
      <c r="A54" t="s">
        <v>76</v>
      </c>
      <c r="B54" t="s">
        <v>37</v>
      </c>
      <c r="C54">
        <v>1</v>
      </c>
      <c r="D54">
        <v>1</v>
      </c>
      <c r="E54" t="s">
        <v>12</v>
      </c>
      <c r="F54" t="s">
        <v>38</v>
      </c>
      <c r="G54">
        <f>VLOOKUP(B54,Resultados_Apertura!$B$2:$H$154,6,FALSE)</f>
        <v>2335</v>
      </c>
      <c r="H54">
        <f>VLOOKUP(E54,Resultados_Apertura!$E$2:$H$154,4,FALSE)</f>
        <v>150</v>
      </c>
      <c r="I54" s="10">
        <f>(SUMIF(Resultados_Apertura!$B$2:$B$154, B53, Resultados_Apertura!$C$2:$C$154) + SUMIF($B$2:$B52, B53, $C$2:$C52)) / (COUNTIF(Resultados_Apertura!$B$2:$B$154, B53) + COUNTIF($B$2:$B52, B53))</f>
        <v>1.0909090909090908</v>
      </c>
      <c r="J54" s="10">
        <f>(SUMIF(Resultados_Apertura!$B$2:$B$154, B53, Resultados_Apertura!$D$2:$D$154) + SUMIF($B$2:$B52, B53, $D$2:$D52)) / (COUNTIF(Resultados_Apertura!$B$2:$B$154, B53) + COUNTIF($B$2:$B52, B53))</f>
        <v>0.54545454545454541</v>
      </c>
      <c r="K54" s="10">
        <f>(SUMIF(Resultados_Apertura!$E$2:$E$154, E53, Resultados_Apertura!$D$2:$D$154) + SUMIF($E$2:$E52, E53, $D$2:$D52)) / (COUNTIF(Resultados_Apertura!$E$2:$E$154, E53) + COUNTIF($E$2:$E52, E53))</f>
        <v>1.2</v>
      </c>
      <c r="L54" s="10">
        <f>(SUMIF(Resultados_Apertura!$E$2:$E$154, E53, Resultados_Apertura!$C$2:$C$154) + SUMIF($E$2:$E52, E53, $C$2:$C52)) / (COUNTIF(Resultados_Apertura!$E$2:$E$154, E53) + COUNTIF($E$2:$E52, E53))</f>
        <v>1.6</v>
      </c>
      <c r="M54" s="9">
        <f>((I54 * L54) / Formulas!$D$2) * IF(H54&gt;=2000, 1.2, IF(H54&gt;=1000, 1.1, 1))</f>
        <v>1.0374768089053803</v>
      </c>
      <c r="N54" s="9">
        <f>((K54 * J54) / Formulas!$D$6) * IF(H54&gt;=2000, 0.75, IF(H54&gt;=1000, 0.85, 1))</f>
        <v>0.60519480519480506</v>
      </c>
    </row>
    <row r="55" spans="1:14">
      <c r="A55" t="s">
        <v>76</v>
      </c>
      <c r="B55" t="s">
        <v>43</v>
      </c>
      <c r="C55">
        <v>3</v>
      </c>
      <c r="D55">
        <v>0</v>
      </c>
      <c r="E55" t="s">
        <v>35</v>
      </c>
      <c r="F55" t="s">
        <v>13</v>
      </c>
      <c r="G55">
        <f>VLOOKUP(B55,Resultados_Apertura!$B$2:$H$154,6,FALSE)</f>
        <v>150</v>
      </c>
      <c r="H55">
        <f>VLOOKUP(E55,Resultados_Apertura!$E$2:$H$154,4,FALSE)</f>
        <v>2926</v>
      </c>
      <c r="I55" s="10">
        <f>(SUMIF(Resultados_Apertura!$B$2:$B$154, B54, Resultados_Apertura!$C$2:$C$154) + SUMIF($B$2:$B53, B54, $C$2:$C53)) / (COUNTIF(Resultados_Apertura!$B$2:$B$154, B54) + COUNTIF($B$2:$B53, B54))</f>
        <v>2.0909090909090908</v>
      </c>
      <c r="J55" s="10">
        <f>(SUMIF(Resultados_Apertura!$B$2:$B$154, B54, Resultados_Apertura!$D$2:$D$154) + SUMIF($B$2:$B53, B54, $D$2:$D53)) / (COUNTIF(Resultados_Apertura!$B$2:$B$154, B54) + COUNTIF($B$2:$B53, B54))</f>
        <v>1.1818181818181819</v>
      </c>
      <c r="K55" s="10">
        <f>(SUMIF(Resultados_Apertura!$E$2:$E$154, E54, Resultados_Apertura!$D$2:$D$154) + SUMIF($E$2:$E53, E54, $D$2:$D53)) / (COUNTIF(Resultados_Apertura!$E$2:$E$154, E54) + COUNTIF($E$2:$E53, E54))</f>
        <v>1</v>
      </c>
      <c r="L55" s="10">
        <f>(SUMIF(Resultados_Apertura!$E$2:$E$154, E54, Resultados_Apertura!$C$2:$C$154) + SUMIF($E$2:$E53, E54, $C$2:$C53)) / (COUNTIF(Resultados_Apertura!$E$2:$E$154, E54) + COUNTIF($E$2:$E53, E54))</f>
        <v>0.63636363636363635</v>
      </c>
      <c r="M55" s="9">
        <f>((I55 * L55) / Formulas!$D$2) * IF(H55&gt;=2000, 1.2, IF(H55&gt;=1000, 1.1, 1))</f>
        <v>0.94905548996458089</v>
      </c>
      <c r="N55" s="9">
        <f>((K55 * J55) / Formulas!$D$6) * IF(H55&gt;=2000, 0.75, IF(H55&gt;=1000, 0.85, 1))</f>
        <v>0.81953463203463206</v>
      </c>
    </row>
    <row r="56" spans="1:14">
      <c r="A56" t="s">
        <v>77</v>
      </c>
      <c r="B56" t="s">
        <v>19</v>
      </c>
      <c r="C56">
        <v>2</v>
      </c>
      <c r="D56">
        <v>3</v>
      </c>
      <c r="E56" t="s">
        <v>30</v>
      </c>
      <c r="F56" t="s">
        <v>20</v>
      </c>
      <c r="G56">
        <f>VLOOKUP(B56,Resultados_Apertura!$B$2:$H$154,6,FALSE)</f>
        <v>2637</v>
      </c>
      <c r="H56">
        <f>VLOOKUP(E56,Resultados_Apertura!$E$2:$H$154,4,FALSE)</f>
        <v>2750</v>
      </c>
      <c r="I56" s="10">
        <f>(SUMIF(Resultados_Apertura!$B$2:$B$154, B55, Resultados_Apertura!$C$2:$C$154) + SUMIF($B$2:$B54, B55, $C$2:$C54)) / (COUNTIF(Resultados_Apertura!$B$2:$B$154, B55) + COUNTIF($B$2:$B54, B55))</f>
        <v>1.6363636363636365</v>
      </c>
      <c r="J56" s="10">
        <f>(SUMIF(Resultados_Apertura!$B$2:$B$154, B55, Resultados_Apertura!$D$2:$D$154) + SUMIF($B$2:$B54, B55, $D$2:$D54)) / (COUNTIF(Resultados_Apertura!$B$2:$B$154, B55) + COUNTIF($B$2:$B54, B55))</f>
        <v>0.72727272727272729</v>
      </c>
      <c r="K56" s="10">
        <f>(SUMIF(Resultados_Apertura!$E$2:$E$154, E55, Resultados_Apertura!$D$2:$D$154) + SUMIF($E$2:$E54, E55, $D$2:$D54)) / (COUNTIF(Resultados_Apertura!$E$2:$E$154, E55) + COUNTIF($E$2:$E54, E55))</f>
        <v>1.1000000000000001</v>
      </c>
      <c r="L56" s="10">
        <f>(SUMIF(Resultados_Apertura!$E$2:$E$154, E55, Resultados_Apertura!$C$2:$C$154) + SUMIF($E$2:$E54, E55, $C$2:$C54)) / (COUNTIF(Resultados_Apertura!$E$2:$E$154, E55) + COUNTIF($E$2:$E54, E55))</f>
        <v>1.7</v>
      </c>
      <c r="M56" s="9">
        <f>((I56 * L56) / Formulas!$D$2) * IF(H56&gt;=2000, 1.2, IF(H56&gt;=1000, 1.1, 1))</f>
        <v>1.9841743970315395</v>
      </c>
      <c r="N56" s="9">
        <f>((K56 * J56) / Formulas!$D$6) * IF(H56&gt;=2000, 0.75, IF(H56&gt;=1000, 0.85, 1))</f>
        <v>0.55476190476190468</v>
      </c>
    </row>
    <row r="57" spans="1:14">
      <c r="A57" t="s">
        <v>77</v>
      </c>
      <c r="B57" t="s">
        <v>35</v>
      </c>
      <c r="C57">
        <v>3</v>
      </c>
      <c r="D57">
        <v>4</v>
      </c>
      <c r="E57" t="s">
        <v>32</v>
      </c>
      <c r="F57" t="s">
        <v>36</v>
      </c>
      <c r="G57">
        <f>VLOOKUP(B57,Resultados_Apertura!$B$2:$H$154,6,FALSE)</f>
        <v>2926</v>
      </c>
      <c r="H57">
        <f>VLOOKUP(E57,Resultados_Apertura!$E$2:$H$154,4,FALSE)</f>
        <v>209</v>
      </c>
      <c r="I57" s="10">
        <f>(SUMIF(Resultados_Apertura!$B$2:$B$154, B56, Resultados_Apertura!$C$2:$C$154) + SUMIF($B$2:$B55, B56, $C$2:$C55)) / (COUNTIF(Resultados_Apertura!$B$2:$B$154, B56) + COUNTIF($B$2:$B55, B56))</f>
        <v>1.2727272727272727</v>
      </c>
      <c r="J57" s="10">
        <f>(SUMIF(Resultados_Apertura!$B$2:$B$154, B56, Resultados_Apertura!$D$2:$D$154) + SUMIF($B$2:$B55, B56, $D$2:$D55)) / (COUNTIF(Resultados_Apertura!$B$2:$B$154, B56) + COUNTIF($B$2:$B55, B56))</f>
        <v>0.72727272727272729</v>
      </c>
      <c r="K57" s="10">
        <f>(SUMIF(Resultados_Apertura!$E$2:$E$154, E56, Resultados_Apertura!$D$2:$D$154) + SUMIF($E$2:$E55, E56, $D$2:$D55)) / (COUNTIF(Resultados_Apertura!$E$2:$E$154, E56) + COUNTIF($E$2:$E55, E56))</f>
        <v>1.0909090909090908</v>
      </c>
      <c r="L57" s="10">
        <f>(SUMIF(Resultados_Apertura!$E$2:$E$154, E56, Resultados_Apertura!$C$2:$C$154) + SUMIF($E$2:$E55, E56, $C$2:$C55)) / (COUNTIF(Resultados_Apertura!$E$2:$E$154, E56) + COUNTIF($E$2:$E55, E56))</f>
        <v>1.7272727272727273</v>
      </c>
      <c r="M57" s="9">
        <f>((I57 * L57) / Formulas!$D$2) * IF(H57&gt;=2000, 1.2, IF(H57&gt;=1000, 1.1, 1))</f>
        <v>1.3066706021251475</v>
      </c>
      <c r="N57" s="9">
        <f>((K57 * J57) / Formulas!$D$6) * IF(H57&gt;=2000, 0.75, IF(H57&gt;=1000, 0.85, 1))</f>
        <v>0.73356946084218799</v>
      </c>
    </row>
    <row r="58" spans="1:14">
      <c r="A58" t="s">
        <v>77</v>
      </c>
      <c r="B58" t="s">
        <v>44</v>
      </c>
      <c r="C58">
        <v>2</v>
      </c>
      <c r="D58">
        <v>4</v>
      </c>
      <c r="E58" t="s">
        <v>43</v>
      </c>
      <c r="F58" t="s">
        <v>31</v>
      </c>
      <c r="G58">
        <f>VLOOKUP(B58,Resultados_Apertura!$B$2:$H$154,6,FALSE)</f>
        <v>2750</v>
      </c>
      <c r="H58">
        <f>VLOOKUP(E58,Resultados_Apertura!$E$2:$H$154,4,FALSE)</f>
        <v>150</v>
      </c>
      <c r="I58" s="10">
        <f>(SUMIF(Resultados_Apertura!$B$2:$B$154, B57, Resultados_Apertura!$C$2:$C$154) + SUMIF($B$2:$B56, B57, $C$2:$C56)) / (COUNTIF(Resultados_Apertura!$B$2:$B$154, B57) + COUNTIF($B$2:$B56, B57))</f>
        <v>1.6666666666666667</v>
      </c>
      <c r="J58" s="10">
        <f>(SUMIF(Resultados_Apertura!$B$2:$B$154, B57, Resultados_Apertura!$D$2:$D$154) + SUMIF($B$2:$B56, B57, $D$2:$D56)) / (COUNTIF(Resultados_Apertura!$B$2:$B$154, B57) + COUNTIF($B$2:$B56, B57))</f>
        <v>1.0833333333333333</v>
      </c>
      <c r="K58" s="10">
        <f>(SUMIF(Resultados_Apertura!$E$2:$E$154, E57, Resultados_Apertura!$D$2:$D$154) + SUMIF($E$2:$E56, E57, $D$2:$D56)) / (COUNTIF(Resultados_Apertura!$E$2:$E$154, E57) + COUNTIF($E$2:$E56, E57))</f>
        <v>1</v>
      </c>
      <c r="L58" s="10">
        <f>(SUMIF(Resultados_Apertura!$E$2:$E$154, E57, Resultados_Apertura!$C$2:$C$154) + SUMIF($E$2:$E56, E57, $C$2:$C56)) / (COUNTIF(Resultados_Apertura!$E$2:$E$154, E57) + COUNTIF($E$2:$E56, E57))</f>
        <v>2.4545454545454546</v>
      </c>
      <c r="M58" s="9">
        <f>((I58 * L58) / Formulas!$D$2) * IF(H58&gt;=2000, 1.2, IF(H58&gt;=1000, 1.1, 1))</f>
        <v>2.4315862708719851</v>
      </c>
      <c r="N58" s="9">
        <f>((K58 * J58) / Formulas!$D$6) * IF(H58&gt;=2000, 0.75, IF(H58&gt;=1000, 0.85, 1))</f>
        <v>1.0016534391534391</v>
      </c>
    </row>
    <row r="59" spans="1:14">
      <c r="A59" t="s">
        <v>77</v>
      </c>
      <c r="B59" t="s">
        <v>12</v>
      </c>
      <c r="C59">
        <v>0</v>
      </c>
      <c r="D59">
        <v>1</v>
      </c>
      <c r="E59" t="s">
        <v>26</v>
      </c>
      <c r="F59" t="s">
        <v>13</v>
      </c>
      <c r="G59">
        <f>VLOOKUP(B59,Resultados_Apertura!$B$2:$H$154,6,FALSE)</f>
        <v>150</v>
      </c>
      <c r="H59">
        <f>VLOOKUP(E59,Resultados_Apertura!$E$2:$H$154,4,FALSE)</f>
        <v>3399</v>
      </c>
      <c r="I59" s="10">
        <f>(SUMIF(Resultados_Apertura!$B$2:$B$154, B58, Resultados_Apertura!$C$2:$C$154) + SUMIF($B$2:$B57, B58, $C$2:$C57)) / (COUNTIF(Resultados_Apertura!$B$2:$B$154, B58) + COUNTIF($B$2:$B57, B58))</f>
        <v>1</v>
      </c>
      <c r="J59" s="10">
        <f>(SUMIF(Resultados_Apertura!$B$2:$B$154, B58, Resultados_Apertura!$D$2:$D$154) + SUMIF($B$2:$B57, B58, $D$2:$D57)) / (COUNTIF(Resultados_Apertura!$B$2:$B$154, B58) + COUNTIF($B$2:$B57, B58))</f>
        <v>1.0909090909090908</v>
      </c>
      <c r="K59" s="10">
        <f>(SUMIF(Resultados_Apertura!$E$2:$E$154, E58, Resultados_Apertura!$D$2:$D$154) + SUMIF($E$2:$E57, E58, $D$2:$D57)) / (COUNTIF(Resultados_Apertura!$E$2:$E$154, E58) + COUNTIF($E$2:$E57, E58))</f>
        <v>1.2727272727272727</v>
      </c>
      <c r="L59" s="10">
        <f>(SUMIF(Resultados_Apertura!$E$2:$E$154, E58, Resultados_Apertura!$C$2:$C$154) + SUMIF($E$2:$E57, E58, $C$2:$C57)) / (COUNTIF(Resultados_Apertura!$E$2:$E$154, E58) + COUNTIF($E$2:$E57, E58))</f>
        <v>1.2727272727272727</v>
      </c>
      <c r="M59" s="9">
        <f>((I59 * L59) / Formulas!$D$2) * IF(H59&gt;=2000, 1.2, IF(H59&gt;=1000, 1.1, 1))</f>
        <v>0.90779220779220771</v>
      </c>
      <c r="N59" s="9">
        <f>((K59 * J59) / Formulas!$D$6) * IF(H59&gt;=2000, 0.75, IF(H59&gt;=1000, 0.85, 1))</f>
        <v>0.96280991735537169</v>
      </c>
    </row>
    <row r="60" spans="1:14">
      <c r="A60" t="s">
        <v>77</v>
      </c>
      <c r="B60" t="s">
        <v>27</v>
      </c>
      <c r="C60">
        <v>1</v>
      </c>
      <c r="D60">
        <v>4</v>
      </c>
      <c r="E60" t="s">
        <v>9</v>
      </c>
      <c r="F60" t="s">
        <v>28</v>
      </c>
      <c r="G60">
        <f>VLOOKUP(B60,Resultados_Apertura!$B$2:$H$154,6,FALSE)</f>
        <v>1410</v>
      </c>
      <c r="H60">
        <f>VLOOKUP(E60,Resultados_Apertura!$E$2:$H$154,4,FALSE)</f>
        <v>60</v>
      </c>
      <c r="I60" s="10">
        <f>(SUMIF(Resultados_Apertura!$B$2:$B$154, B59, Resultados_Apertura!$C$2:$C$154) + SUMIF($B$2:$B58, B59, $C$2:$C58)) / (COUNTIF(Resultados_Apertura!$B$2:$B$154, B59) + COUNTIF($B$2:$B58, B59))</f>
        <v>2.5454545454545454</v>
      </c>
      <c r="J60" s="10">
        <f>(SUMIF(Resultados_Apertura!$B$2:$B$154, B59, Resultados_Apertura!$D$2:$D$154) + SUMIF($B$2:$B58, B59, $D$2:$D58)) / (COUNTIF(Resultados_Apertura!$B$2:$B$154, B59) + COUNTIF($B$2:$B58, B59))</f>
        <v>0.54545454545454541</v>
      </c>
      <c r="K60" s="10">
        <f>(SUMIF(Resultados_Apertura!$E$2:$E$154, E59, Resultados_Apertura!$D$2:$D$154) + SUMIF($E$2:$E58, E59, $D$2:$D58)) / (COUNTIF(Resultados_Apertura!$E$2:$E$154, E59) + COUNTIF($E$2:$E58, E59))</f>
        <v>0.45454545454545453</v>
      </c>
      <c r="L60" s="10">
        <f>(SUMIF(Resultados_Apertura!$E$2:$E$154, E59, Resultados_Apertura!$C$2:$C$154) + SUMIF($E$2:$E58, E59, $C$2:$C58)) / (COUNTIF(Resultados_Apertura!$E$2:$E$154, E59) + COUNTIF($E$2:$E58, E59))</f>
        <v>0.90909090909090906</v>
      </c>
      <c r="M60" s="9">
        <f>((I60 * L60) / Formulas!$D$2) * IF(H60&gt;=2000, 1.2, IF(H60&gt;=1000, 1.1, 1))</f>
        <v>1.3754427390791026</v>
      </c>
      <c r="N60" s="9">
        <f>((K60 * J60) / Formulas!$D$6) * IF(H60&gt;=2000, 0.75, IF(H60&gt;=1000, 0.85, 1))</f>
        <v>0.22924045651318375</v>
      </c>
    </row>
    <row r="61" spans="1:14">
      <c r="A61" t="s">
        <v>77</v>
      </c>
      <c r="B61" t="s">
        <v>5</v>
      </c>
      <c r="C61">
        <v>1</v>
      </c>
      <c r="D61">
        <v>3</v>
      </c>
      <c r="E61" t="s">
        <v>24</v>
      </c>
      <c r="F61" t="s">
        <v>6</v>
      </c>
      <c r="G61">
        <f>VLOOKUP(B61,Resultados_Apertura!$B$2:$H$154,6,FALSE)</f>
        <v>3050</v>
      </c>
      <c r="H61">
        <f>VLOOKUP(E61,Resultados_Apertura!$E$2:$H$154,4,FALSE)</f>
        <v>3259</v>
      </c>
      <c r="I61" s="10">
        <f>(SUMIF(Resultados_Apertura!$B$2:$B$154, B60, Resultados_Apertura!$C$2:$C$154) + SUMIF($B$2:$B59, B60, $C$2:$C59)) / (COUNTIF(Resultados_Apertura!$B$2:$B$154, B60) + COUNTIF($B$2:$B59, B60))</f>
        <v>1.4545454545454546</v>
      </c>
      <c r="J61" s="10">
        <f>(SUMIF(Resultados_Apertura!$B$2:$B$154, B60, Resultados_Apertura!$D$2:$D$154) + SUMIF($B$2:$B59, B60, $D$2:$D59)) / (COUNTIF(Resultados_Apertura!$B$2:$B$154, B60) + COUNTIF($B$2:$B59, B60))</f>
        <v>1.0909090909090908</v>
      </c>
      <c r="K61" s="10">
        <f>(SUMIF(Resultados_Apertura!$E$2:$E$154, E60, Resultados_Apertura!$D$2:$D$154) + SUMIF($E$2:$E59, E60, $D$2:$D59)) / (COUNTIF(Resultados_Apertura!$E$2:$E$154, E60) + COUNTIF($E$2:$E59, E60))</f>
        <v>1</v>
      </c>
      <c r="L61" s="10">
        <f>(SUMIF(Resultados_Apertura!$E$2:$E$154, E60, Resultados_Apertura!$C$2:$C$154) + SUMIF($E$2:$E59, E60, $C$2:$C59)) / (COUNTIF(Resultados_Apertura!$E$2:$E$154, E60) + COUNTIF($E$2:$E59, E60))</f>
        <v>1.75</v>
      </c>
      <c r="M61" s="9">
        <f>((I61 * L61) / Formulas!$D$2) * IF(H61&gt;=2000, 1.2, IF(H61&gt;=1000, 1.1, 1))</f>
        <v>1.8155844155844154</v>
      </c>
      <c r="N61" s="9">
        <f>((K61 * J61) / Formulas!$D$6) * IF(H61&gt;=2000, 0.75, IF(H61&gt;=1000, 0.85, 1))</f>
        <v>0.75649350649350644</v>
      </c>
    </row>
    <row r="62" spans="1:14">
      <c r="A62" t="s">
        <v>77</v>
      </c>
      <c r="B62" t="s">
        <v>39</v>
      </c>
      <c r="C62">
        <v>1</v>
      </c>
      <c r="D62">
        <v>0</v>
      </c>
      <c r="E62" t="s">
        <v>42</v>
      </c>
      <c r="F62" t="s">
        <v>40</v>
      </c>
      <c r="G62">
        <f>VLOOKUP(B62,Resultados_Apertura!$B$2:$H$154,6,FALSE)</f>
        <v>5</v>
      </c>
      <c r="H62">
        <f>VLOOKUP(E62,Resultados_Apertura!$E$2:$H$154,4,FALSE)</f>
        <v>150</v>
      </c>
      <c r="I62" s="10">
        <f>(SUMIF(Resultados_Apertura!$B$2:$B$154, B61, Resultados_Apertura!$C$2:$C$154) + SUMIF($B$2:$B60, B61, $C$2:$C60)) / (COUNTIF(Resultados_Apertura!$B$2:$B$154, B61) + COUNTIF($B$2:$B60, B61))</f>
        <v>1.3333333333333333</v>
      </c>
      <c r="J62" s="10">
        <f>(SUMIF(Resultados_Apertura!$B$2:$B$154, B61, Resultados_Apertura!$D$2:$D$154) + SUMIF($B$2:$B60, B61, $D$2:$D60)) / (COUNTIF(Resultados_Apertura!$B$2:$B$154, B61) + COUNTIF($B$2:$B60, B61))</f>
        <v>1.0833333333333333</v>
      </c>
      <c r="K62" s="10">
        <f>(SUMIF(Resultados_Apertura!$E$2:$E$154, E61, Resultados_Apertura!$D$2:$D$154) + SUMIF($E$2:$E60, E61, $D$2:$D60)) / (COUNTIF(Resultados_Apertura!$E$2:$E$154, E61) + COUNTIF($E$2:$E60, E61))</f>
        <v>1.0833333333333333</v>
      </c>
      <c r="L62" s="10">
        <f>(SUMIF(Resultados_Apertura!$E$2:$E$154, E61, Resultados_Apertura!$C$2:$C$154) + SUMIF($E$2:$E60, E61, $C$2:$C60)) / (COUNTIF(Resultados_Apertura!$E$2:$E$154, E61) + COUNTIF($E$2:$E60, E61))</f>
        <v>2.3333333333333335</v>
      </c>
      <c r="M62" s="9">
        <f>((I62 * L62) / Formulas!$D$2) * IF(H62&gt;=2000, 1.2, IF(H62&gt;=1000, 1.1, 1))</f>
        <v>1.8492063492063493</v>
      </c>
      <c r="N62" s="9">
        <f>((K62 * J62) / Formulas!$D$6) * IF(H62&gt;=2000, 0.75, IF(H62&gt;=1000, 0.85, 1))</f>
        <v>1.0851245590828922</v>
      </c>
    </row>
    <row r="63" spans="1:14">
      <c r="A63" t="s">
        <v>77</v>
      </c>
      <c r="B63" t="s">
        <v>17</v>
      </c>
      <c r="C63">
        <v>1</v>
      </c>
      <c r="D63">
        <v>2</v>
      </c>
      <c r="E63" t="s">
        <v>23</v>
      </c>
      <c r="F63" t="s">
        <v>18</v>
      </c>
      <c r="G63">
        <f>VLOOKUP(B63,Resultados_Apertura!$B$2:$H$154,6,FALSE)</f>
        <v>3399</v>
      </c>
      <c r="H63">
        <f>VLOOKUP(E63,Resultados_Apertura!$E$2:$H$154,4,FALSE)</f>
        <v>3399</v>
      </c>
      <c r="I63" s="10">
        <f>(SUMIF(Resultados_Apertura!$B$2:$B$154, B62, Resultados_Apertura!$C$2:$C$154) + SUMIF($B$2:$B61, B62, $C$2:$C61)) / (COUNTIF(Resultados_Apertura!$B$2:$B$154, B62) + COUNTIF($B$2:$B61, B62))</f>
        <v>1.4166666666666667</v>
      </c>
      <c r="J63" s="10">
        <f>(SUMIF(Resultados_Apertura!$B$2:$B$154, B62, Resultados_Apertura!$D$2:$D$154) + SUMIF($B$2:$B61, B62, $D$2:$D61)) / (COUNTIF(Resultados_Apertura!$B$2:$B$154, B62) + COUNTIF($B$2:$B61, B62))</f>
        <v>0.58333333333333337</v>
      </c>
      <c r="K63" s="10">
        <f>(SUMIF(Resultados_Apertura!$E$2:$E$154, E62, Resultados_Apertura!$D$2:$D$154) + SUMIF($E$2:$E61, E62, $D$2:$D61)) / (COUNTIF(Resultados_Apertura!$E$2:$E$154, E62) + COUNTIF($E$2:$E61, E62))</f>
        <v>1.1666666666666667</v>
      </c>
      <c r="L63" s="10">
        <f>(SUMIF(Resultados_Apertura!$E$2:$E$154, E62, Resultados_Apertura!$C$2:$C$154) + SUMIF($E$2:$E61, E62, $C$2:$C61)) / (COUNTIF(Resultados_Apertura!$E$2:$E$154, E62) + COUNTIF($E$2:$E61, E62))</f>
        <v>2</v>
      </c>
      <c r="M63" s="9">
        <f>((I63 * L63) / Formulas!$D$2) * IF(H63&gt;=2000, 1.2, IF(H63&gt;=1000, 1.1, 1))</f>
        <v>2.0209183673469386</v>
      </c>
      <c r="N63" s="9">
        <f>((K63 * J63) / Formulas!$D$6) * IF(H63&gt;=2000, 0.75, IF(H63&gt;=1000, 0.85, 1))</f>
        <v>0.47193287037037041</v>
      </c>
    </row>
    <row r="64" spans="1:14">
      <c r="A64" t="s">
        <v>77</v>
      </c>
      <c r="B64" t="s">
        <v>15</v>
      </c>
      <c r="C64">
        <v>1</v>
      </c>
      <c r="D64">
        <v>0</v>
      </c>
      <c r="E64" t="s">
        <v>37</v>
      </c>
      <c r="F64" t="s">
        <v>10</v>
      </c>
      <c r="G64">
        <f>VLOOKUP(B64,Resultados_Apertura!$B$2:$H$154,6,FALSE)</f>
        <v>29</v>
      </c>
      <c r="H64">
        <f>VLOOKUP(E64,Resultados_Apertura!$E$2:$H$154,4,FALSE)</f>
        <v>2335</v>
      </c>
      <c r="I64" s="10">
        <f>(SUMIF(Resultados_Apertura!$B$2:$B$154, B63, Resultados_Apertura!$C$2:$C$154) + SUMIF($B$2:$B62, B63, $C$2:$C62)) / (COUNTIF(Resultados_Apertura!$B$2:$B$154, B63) + COUNTIF($B$2:$B62, B63))</f>
        <v>2.0833333333333335</v>
      </c>
      <c r="J64" s="10">
        <f>(SUMIF(Resultados_Apertura!$B$2:$B$154, B63, Resultados_Apertura!$D$2:$D$154) + SUMIF($B$2:$B62, B63, $D$2:$D62)) / (COUNTIF(Resultados_Apertura!$B$2:$B$154, B63) + COUNTIF($B$2:$B62, B63))</f>
        <v>1</v>
      </c>
      <c r="K64" s="10">
        <f>(SUMIF(Resultados_Apertura!$E$2:$E$154, E63, Resultados_Apertura!$D$2:$D$154) + SUMIF($E$2:$E62, E63, $D$2:$D62)) / (COUNTIF(Resultados_Apertura!$E$2:$E$154, E63) + COUNTIF($E$2:$E62, E63))</f>
        <v>1.0833333333333333</v>
      </c>
      <c r="L64" s="10">
        <f>(SUMIF(Resultados_Apertura!$E$2:$E$154, E63, Resultados_Apertura!$C$2:$C$154) + SUMIF($E$2:$E62, E63, $C$2:$C62)) / (COUNTIF(Resultados_Apertura!$E$2:$E$154, E63) + COUNTIF($E$2:$E62, E63))</f>
        <v>2.25</v>
      </c>
      <c r="M64" s="9">
        <f>((I64 * L64) / Formulas!$D$2) * IF(H64&gt;=2000, 1.2, IF(H64&gt;=1000, 1.1, 1))</f>
        <v>3.3434311224489792</v>
      </c>
      <c r="N64" s="9">
        <f>((K64 * J64) / Formulas!$D$6) * IF(H64&gt;=2000, 0.75, IF(H64&gt;=1000, 0.85, 1))</f>
        <v>0.75124007936507931</v>
      </c>
    </row>
    <row r="65" spans="1:14">
      <c r="A65" t="s">
        <v>55</v>
      </c>
      <c r="B65" t="s">
        <v>30</v>
      </c>
      <c r="C65">
        <v>2</v>
      </c>
      <c r="D65">
        <v>5</v>
      </c>
      <c r="E65" t="s">
        <v>17</v>
      </c>
      <c r="F65" t="s">
        <v>31</v>
      </c>
      <c r="G65">
        <f>VLOOKUP(B65,Resultados_Apertura!$B$2:$H$154,6,FALSE)</f>
        <v>2750</v>
      </c>
      <c r="H65">
        <f>VLOOKUP(E65,Resultados_Apertura!$E$2:$H$154,4,FALSE)</f>
        <v>3399</v>
      </c>
      <c r="I65" s="10">
        <f>(SUMIF(Resultados_Apertura!$B$2:$B$154, B64, Resultados_Apertura!$C$2:$C$154) + SUMIF($B$2:$B63, B64, $C$2:$C63)) / (COUNTIF(Resultados_Apertura!$B$2:$B$154, B64) + COUNTIF($B$2:$B63, B64))</f>
        <v>1.0909090909090908</v>
      </c>
      <c r="J65" s="10">
        <f>(SUMIF(Resultados_Apertura!$B$2:$B$154, B64, Resultados_Apertura!$D$2:$D$154) + SUMIF($B$2:$B63, B64, $D$2:$D63)) / (COUNTIF(Resultados_Apertura!$B$2:$B$154, B64) + COUNTIF($B$2:$B63, B64))</f>
        <v>0.72727272727272729</v>
      </c>
      <c r="K65" s="10">
        <f>(SUMIF(Resultados_Apertura!$E$2:$E$154, E64, Resultados_Apertura!$D$2:$D$154) + SUMIF($E$2:$E63, E64, $D$2:$D63)) / (COUNTIF(Resultados_Apertura!$E$2:$E$154, E64) + COUNTIF($E$2:$E63, E64))</f>
        <v>1.4545454545454546</v>
      </c>
      <c r="L65" s="10">
        <f>(SUMIF(Resultados_Apertura!$E$2:$E$154, E64, Resultados_Apertura!$C$2:$C$154) + SUMIF($E$2:$E63, E64, $C$2:$C63)) / (COUNTIF(Resultados_Apertura!$E$2:$E$154, E64) + COUNTIF($E$2:$E63, E64))</f>
        <v>1.1818181818181819</v>
      </c>
      <c r="M65" s="9">
        <f>((I65 * L65) / Formulas!$D$2) * IF(H65&gt;=2000, 1.2, IF(H65&gt;=1000, 1.1, 1))</f>
        <v>0.91958171698431423</v>
      </c>
      <c r="N65" s="9">
        <f>((K65 * J65) / Formulas!$D$6) * IF(H65&gt;=2000, 0.75, IF(H65&gt;=1000, 0.85, 1))</f>
        <v>0.7335694608421881</v>
      </c>
    </row>
    <row r="66" spans="1:14">
      <c r="A66" t="s">
        <v>55</v>
      </c>
      <c r="B66" t="s">
        <v>9</v>
      </c>
      <c r="C66">
        <v>3</v>
      </c>
      <c r="D66">
        <v>2</v>
      </c>
      <c r="E66" t="s">
        <v>44</v>
      </c>
      <c r="F66" t="s">
        <v>10</v>
      </c>
      <c r="G66">
        <f>VLOOKUP(B66,Resultados_Apertura!$B$2:$H$154,6,FALSE)</f>
        <v>60</v>
      </c>
      <c r="H66">
        <f>VLOOKUP(E66,Resultados_Apertura!$E$2:$H$154,4,FALSE)</f>
        <v>2750</v>
      </c>
      <c r="I66" s="10">
        <f>(SUMIF(Resultados_Apertura!$B$2:$B$154, B65, Resultados_Apertura!$C$2:$C$154) + SUMIF($B$2:$B64, B65, $C$2:$C64)) / (COUNTIF(Resultados_Apertura!$B$2:$B$154, B65) + COUNTIF($B$2:$B64, B65))</f>
        <v>1.75</v>
      </c>
      <c r="J66" s="10">
        <f>(SUMIF(Resultados_Apertura!$B$2:$B$154, B65, Resultados_Apertura!$D$2:$D$154) + SUMIF($B$2:$B64, B65, $D$2:$D64)) / (COUNTIF(Resultados_Apertura!$B$2:$B$154, B65) + COUNTIF($B$2:$B64, B65))</f>
        <v>1.9166666666666667</v>
      </c>
      <c r="K66" s="10">
        <f>(SUMIF(Resultados_Apertura!$E$2:$E$154, E65, Resultados_Apertura!$D$2:$D$154) + SUMIF($E$2:$E64, E65, $D$2:$D64)) / (COUNTIF(Resultados_Apertura!$E$2:$E$154, E65) + COUNTIF($E$2:$E64, E65))</f>
        <v>1.1818181818181819</v>
      </c>
      <c r="L66" s="10">
        <f>(SUMIF(Resultados_Apertura!$E$2:$E$154, E65, Resultados_Apertura!$C$2:$C$154) + SUMIF($E$2:$E64, E65, $C$2:$C64)) / (COUNTIF(Resultados_Apertura!$E$2:$E$154, E65) + COUNTIF($E$2:$E64, E65))</f>
        <v>1.9090909090909092</v>
      </c>
      <c r="M66" s="9">
        <f>((I66 * L66) / Formulas!$D$2) * IF(H66&gt;=2000, 1.2, IF(H66&gt;=1000, 1.1, 1))</f>
        <v>2.3829545454545453</v>
      </c>
      <c r="N66" s="9">
        <f>((K66 * J66) / Formulas!$D$6) * IF(H66&gt;=2000, 0.75, IF(H66&gt;=1000, 0.85, 1))</f>
        <v>1.5707747113997113</v>
      </c>
    </row>
    <row r="67" spans="1:14">
      <c r="A67" t="s">
        <v>55</v>
      </c>
      <c r="B67" t="s">
        <v>24</v>
      </c>
      <c r="C67">
        <v>2</v>
      </c>
      <c r="D67">
        <v>1</v>
      </c>
      <c r="E67" t="s">
        <v>39</v>
      </c>
      <c r="F67" t="s">
        <v>25</v>
      </c>
      <c r="G67">
        <f>VLOOKUP(B67,Resultados_Apertura!$B$2:$H$154,6,FALSE)</f>
        <v>3259</v>
      </c>
      <c r="H67">
        <f>VLOOKUP(E67,Resultados_Apertura!$E$2:$H$154,4,FALSE)</f>
        <v>5</v>
      </c>
      <c r="I67" s="10">
        <f>(SUMIF(Resultados_Apertura!$B$2:$B$154, B66, Resultados_Apertura!$C$2:$C$154) + SUMIF($B$2:$B65, B66, $C$2:$C65)) / (COUNTIF(Resultados_Apertura!$B$2:$B$154, B66) + COUNTIF($B$2:$B65, B66))</f>
        <v>1.6363636363636365</v>
      </c>
      <c r="J67" s="10">
        <f>(SUMIF(Resultados_Apertura!$B$2:$B$154, B66, Resultados_Apertura!$D$2:$D$154) + SUMIF($B$2:$B65, B66, $D$2:$D65)) / (COUNTIF(Resultados_Apertura!$B$2:$B$154, B66) + COUNTIF($B$2:$B65, B66))</f>
        <v>0.63636363636363635</v>
      </c>
      <c r="K67" s="10">
        <f>(SUMIF(Resultados_Apertura!$E$2:$E$154, E66, Resultados_Apertura!$D$2:$D$154) + SUMIF($E$2:$E65, E66, $D$2:$D65)) / (COUNTIF(Resultados_Apertura!$E$2:$E$154, E66) + COUNTIF($E$2:$E65, E66))</f>
        <v>1.1666666666666667</v>
      </c>
      <c r="L67" s="10">
        <f>(SUMIF(Resultados_Apertura!$E$2:$E$154, E66, Resultados_Apertura!$C$2:$C$154) + SUMIF($E$2:$E65, E66, $C$2:$C65)) / (COUNTIF(Resultados_Apertura!$E$2:$E$154, E66) + COUNTIF($E$2:$E65, E66))</f>
        <v>2.1666666666666665</v>
      </c>
      <c r="M67" s="9">
        <f>((I67 * L67) / Formulas!$D$2) * IF(H67&gt;=2000, 1.2, IF(H67&gt;=1000, 1.1, 1))</f>
        <v>2.1073747680890538</v>
      </c>
      <c r="N67" s="9">
        <f>((K67 * J67) / Formulas!$D$6) * IF(H67&gt;=2000, 0.75, IF(H67&gt;=1000, 0.85, 1))</f>
        <v>0.68644781144781142</v>
      </c>
    </row>
    <row r="68" spans="1:14">
      <c r="A68" t="s">
        <v>55</v>
      </c>
      <c r="B68" t="s">
        <v>23</v>
      </c>
      <c r="C68">
        <v>2</v>
      </c>
      <c r="D68">
        <v>0</v>
      </c>
      <c r="E68" t="s">
        <v>27</v>
      </c>
      <c r="F68" t="s">
        <v>18</v>
      </c>
      <c r="G68">
        <f>VLOOKUP(B68,Resultados_Apertura!$B$2:$H$154,6,FALSE)</f>
        <v>3399</v>
      </c>
      <c r="H68">
        <f>VLOOKUP(E68,Resultados_Apertura!$E$2:$H$154,4,FALSE)</f>
        <v>1410</v>
      </c>
      <c r="I68" s="10">
        <f>(SUMIF(Resultados_Apertura!$B$2:$B$154, B67, Resultados_Apertura!$C$2:$C$154) + SUMIF($B$2:$B66, B67, $C$2:$C66)) / (COUNTIF(Resultados_Apertura!$B$2:$B$154, B67) + COUNTIF($B$2:$B66, B67))</f>
        <v>1.3636363636363635</v>
      </c>
      <c r="J68" s="10">
        <f>(SUMIF(Resultados_Apertura!$B$2:$B$154, B67, Resultados_Apertura!$D$2:$D$154) + SUMIF($B$2:$B66, B67, $D$2:$D66)) / (COUNTIF(Resultados_Apertura!$B$2:$B$154, B67) + COUNTIF($B$2:$B66, B67))</f>
        <v>1.0909090909090908</v>
      </c>
      <c r="K68" s="10">
        <f>(SUMIF(Resultados_Apertura!$E$2:$E$154, E67, Resultados_Apertura!$D$2:$D$154) + SUMIF($E$2:$E66, E67, $D$2:$D66)) / (COUNTIF(Resultados_Apertura!$E$2:$E$154, E67) + COUNTIF($E$2:$E66, E67))</f>
        <v>0.72727272727272729</v>
      </c>
      <c r="L68" s="10">
        <f>(SUMIF(Resultados_Apertura!$E$2:$E$154, E67, Resultados_Apertura!$C$2:$C$154) + SUMIF($E$2:$E66, E67, $C$2:$C66)) / (COUNTIF(Resultados_Apertura!$E$2:$E$154, E67) + COUNTIF($E$2:$E66, E67))</f>
        <v>1.4545454545454546</v>
      </c>
      <c r="M68" s="9">
        <f>((I68 * L68) / Formulas!$D$2) * IF(H68&gt;=2000, 1.2, IF(H68&gt;=1000, 1.1, 1))</f>
        <v>1.2968460111317253</v>
      </c>
      <c r="N68" s="9">
        <f>((K68 * J68) / Formulas!$D$6) * IF(H68&gt;=2000, 0.75, IF(H68&gt;=1000, 0.85, 1))</f>
        <v>0.6235340417158598</v>
      </c>
    </row>
    <row r="69" spans="1:14">
      <c r="A69" t="s">
        <v>55</v>
      </c>
      <c r="B69" t="s">
        <v>43</v>
      </c>
      <c r="C69">
        <v>2</v>
      </c>
      <c r="D69">
        <v>2</v>
      </c>
      <c r="E69" t="s">
        <v>19</v>
      </c>
      <c r="F69" t="s">
        <v>13</v>
      </c>
      <c r="G69">
        <f>VLOOKUP(B69,Resultados_Apertura!$B$2:$H$154,6,FALSE)</f>
        <v>150</v>
      </c>
      <c r="H69">
        <f>VLOOKUP(E69,Resultados_Apertura!$E$2:$H$154,4,FALSE)</f>
        <v>2637</v>
      </c>
      <c r="I69" s="10">
        <f>(SUMIF(Resultados_Apertura!$B$2:$B$154, B68, Resultados_Apertura!$C$2:$C$154) + SUMIF($B$2:$B67, B68, $C$2:$C67)) / (COUNTIF(Resultados_Apertura!$B$2:$B$154, B68) + COUNTIF($B$2:$B67, B68))</f>
        <v>1.9090909090909092</v>
      </c>
      <c r="J69" s="10">
        <f>(SUMIF(Resultados_Apertura!$B$2:$B$154, B68, Resultados_Apertura!$D$2:$D$154) + SUMIF($B$2:$B67, B68, $D$2:$D67)) / (COUNTIF(Resultados_Apertura!$B$2:$B$154, B68) + COUNTIF($B$2:$B67, B68))</f>
        <v>0.72727272727272729</v>
      </c>
      <c r="K69" s="10">
        <f>(SUMIF(Resultados_Apertura!$E$2:$E$154, E68, Resultados_Apertura!$D$2:$D$154) + SUMIF($E$2:$E67, E68, $D$2:$D67)) / (COUNTIF(Resultados_Apertura!$E$2:$E$154, E68) + COUNTIF($E$2:$E67, E68))</f>
        <v>0.5</v>
      </c>
      <c r="L69" s="10">
        <f>(SUMIF(Resultados_Apertura!$E$2:$E$154, E68, Resultados_Apertura!$C$2:$C$154) + SUMIF($E$2:$E67, E68, $C$2:$C67)) / (COUNTIF(Resultados_Apertura!$E$2:$E$154, E68) + COUNTIF($E$2:$E67, E68))</f>
        <v>1.4166666666666667</v>
      </c>
      <c r="M69" s="9">
        <f>((I69 * L69) / Formulas!$D$2) * IF(H69&gt;=2000, 1.2, IF(H69&gt;=1000, 1.1, 1))</f>
        <v>1.9290584415584415</v>
      </c>
      <c r="N69" s="9">
        <f>((K69 * J69) / Formulas!$D$6) * IF(H69&gt;=2000, 0.75, IF(H69&gt;=1000, 0.85, 1))</f>
        <v>0.25216450216450215</v>
      </c>
    </row>
    <row r="70" spans="1:14">
      <c r="A70" t="s">
        <v>55</v>
      </c>
      <c r="B70" t="s">
        <v>42</v>
      </c>
      <c r="C70">
        <v>5</v>
      </c>
      <c r="D70">
        <v>0</v>
      </c>
      <c r="E70" t="s">
        <v>35</v>
      </c>
      <c r="F70" t="s">
        <v>13</v>
      </c>
      <c r="G70">
        <f>VLOOKUP(B70,Resultados_Apertura!$B$2:$H$154,6,FALSE)</f>
        <v>150</v>
      </c>
      <c r="H70">
        <f>VLOOKUP(E70,Resultados_Apertura!$E$2:$H$154,4,FALSE)</f>
        <v>2926</v>
      </c>
      <c r="I70" s="10">
        <f>(SUMIF(Resultados_Apertura!$B$2:$B$154, B69, Resultados_Apertura!$C$2:$C$154) + SUMIF($B$2:$B68, B69, $C$2:$C68)) / (COUNTIF(Resultados_Apertura!$B$2:$B$154, B69) + COUNTIF($B$2:$B68, B69))</f>
        <v>1.75</v>
      </c>
      <c r="J70" s="10">
        <f>(SUMIF(Resultados_Apertura!$B$2:$B$154, B69, Resultados_Apertura!$D$2:$D$154) + SUMIF($B$2:$B68, B69, $D$2:$D68)) / (COUNTIF(Resultados_Apertura!$B$2:$B$154, B69) + COUNTIF($B$2:$B68, B69))</f>
        <v>0.66666666666666663</v>
      </c>
      <c r="K70" s="10">
        <f>(SUMIF(Resultados_Apertura!$E$2:$E$154, E69, Resultados_Apertura!$D$2:$D$154) + SUMIF($E$2:$E68, E69, $D$2:$D68)) / (COUNTIF(Resultados_Apertura!$E$2:$E$154, E69) + COUNTIF($E$2:$E68, E69))</f>
        <v>1.3333333333333333</v>
      </c>
      <c r="L70" s="10">
        <f>(SUMIF(Resultados_Apertura!$E$2:$E$154, E69, Resultados_Apertura!$C$2:$C$154) + SUMIF($E$2:$E68, E69, $C$2:$C68)) / (COUNTIF(Resultados_Apertura!$E$2:$E$154, E69) + COUNTIF($E$2:$E68, E69))</f>
        <v>1.8333333333333333</v>
      </c>
      <c r="M70" s="9">
        <f>((I70 * L70) / Formulas!$D$2) * IF(H70&gt;=2000, 1.2, IF(H70&gt;=1000, 1.1, 1))</f>
        <v>2.2883928571428567</v>
      </c>
      <c r="N70" s="9">
        <f>((K70 * J70) / Formulas!$D$6) * IF(H70&gt;=2000, 0.75, IF(H70&gt;=1000, 0.85, 1))</f>
        <v>0.61640211640211628</v>
      </c>
    </row>
    <row r="71" spans="1:14">
      <c r="A71" t="s">
        <v>55</v>
      </c>
      <c r="B71" t="s">
        <v>26</v>
      </c>
      <c r="C71">
        <v>4</v>
      </c>
      <c r="D71">
        <v>2</v>
      </c>
      <c r="E71" t="s">
        <v>15</v>
      </c>
      <c r="F71" t="s">
        <v>18</v>
      </c>
      <c r="G71">
        <f>VLOOKUP(B71,Resultados_Apertura!$B$2:$H$154,6,FALSE)</f>
        <v>3399</v>
      </c>
      <c r="H71">
        <f>VLOOKUP(E71,Resultados_Apertura!$E$2:$H$154,4,FALSE)</f>
        <v>29</v>
      </c>
      <c r="I71" s="10">
        <f>(SUMIF(Resultados_Apertura!$B$2:$B$154, B70, Resultados_Apertura!$C$2:$C$154) + SUMIF($B$2:$B69, B70, $C$2:$C69)) / (COUNTIF(Resultados_Apertura!$B$2:$B$154, B70) + COUNTIF($B$2:$B69, B70))</f>
        <v>2.1818181818181817</v>
      </c>
      <c r="J71" s="10">
        <f>(SUMIF(Resultados_Apertura!$B$2:$B$154, B70, Resultados_Apertura!$D$2:$D$154) + SUMIF($B$2:$B69, B70, $D$2:$D69)) / (COUNTIF(Resultados_Apertura!$B$2:$B$154, B70) + COUNTIF($B$2:$B69, B70))</f>
        <v>1.1818181818181819</v>
      </c>
      <c r="K71" s="10">
        <f>(SUMIF(Resultados_Apertura!$E$2:$E$154, E70, Resultados_Apertura!$D$2:$D$154) + SUMIF($E$2:$E69, E70, $D$2:$D69)) / (COUNTIF(Resultados_Apertura!$E$2:$E$154, E70) + COUNTIF($E$2:$E69, E70))</f>
        <v>1</v>
      </c>
      <c r="L71" s="10">
        <f>(SUMIF(Resultados_Apertura!$E$2:$E$154, E70, Resultados_Apertura!$C$2:$C$154) + SUMIF($E$2:$E69, E70, $C$2:$C69)) / (COUNTIF(Resultados_Apertura!$E$2:$E$154, E70) + COUNTIF($E$2:$E69, E70))</f>
        <v>1.8181818181818181</v>
      </c>
      <c r="M71" s="9">
        <f>((I71 * L71) / Formulas!$D$2) * IF(H71&gt;=2000, 1.2, IF(H71&gt;=1000, 1.1, 1))</f>
        <v>2.3579018384213186</v>
      </c>
      <c r="N71" s="9">
        <f>((K71 * J71) / Formulas!$D$6) * IF(H71&gt;=2000, 0.75, IF(H71&gt;=1000, 0.85, 1))</f>
        <v>1.0927128427128427</v>
      </c>
    </row>
    <row r="72" spans="1:14">
      <c r="A72" t="s">
        <v>55</v>
      </c>
      <c r="B72" t="s">
        <v>32</v>
      </c>
      <c r="C72">
        <v>1</v>
      </c>
      <c r="D72">
        <v>1</v>
      </c>
      <c r="E72" t="s">
        <v>12</v>
      </c>
      <c r="F72" t="s">
        <v>33</v>
      </c>
      <c r="G72">
        <f>VLOOKUP(B72,Resultados_Apertura!$B$2:$H$154,6,FALSE)</f>
        <v>209</v>
      </c>
      <c r="H72">
        <f>VLOOKUP(E72,Resultados_Apertura!$E$2:$H$154,4,FALSE)</f>
        <v>150</v>
      </c>
      <c r="I72" s="10">
        <f>(SUMIF(Resultados_Apertura!$B$2:$B$154, B71, Resultados_Apertura!$C$2:$C$154) + SUMIF($B$2:$B70, B71, $C$2:$C70)) / (COUNTIF(Resultados_Apertura!$B$2:$B$154, B71) + COUNTIF($B$2:$B70, B71))</f>
        <v>2.0833333333333335</v>
      </c>
      <c r="J72" s="10">
        <f>(SUMIF(Resultados_Apertura!$B$2:$B$154, B71, Resultados_Apertura!$D$2:$D$154) + SUMIF($B$2:$B70, B71, $D$2:$D70)) / (COUNTIF(Resultados_Apertura!$B$2:$B$154, B71) + COUNTIF($B$2:$B70, B71))</f>
        <v>0.91666666666666663</v>
      </c>
      <c r="K72" s="10">
        <f>(SUMIF(Resultados_Apertura!$E$2:$E$154, E71, Resultados_Apertura!$D$2:$D$154) + SUMIF($E$2:$E70, E71, $D$2:$D70)) / (COUNTIF(Resultados_Apertura!$E$2:$E$154, E71) + COUNTIF($E$2:$E70, E71))</f>
        <v>0.58333333333333337</v>
      </c>
      <c r="L72" s="10">
        <f>(SUMIF(Resultados_Apertura!$E$2:$E$154, E71, Resultados_Apertura!$C$2:$C$154) + SUMIF($E$2:$E70, E71, $C$2:$C70)) / (COUNTIF(Resultados_Apertura!$E$2:$E$154, E71) + COUNTIF($E$2:$E70, E71))</f>
        <v>1.25</v>
      </c>
      <c r="M72" s="9">
        <f>((I72 * L72) / Formulas!$D$2) * IF(H72&gt;=2000, 1.2, IF(H72&gt;=1000, 1.1, 1))</f>
        <v>1.5478847789115648</v>
      </c>
      <c r="N72" s="9">
        <f>((K72 * J72) / Formulas!$D$6) * IF(H72&gt;=2000, 0.75, IF(H72&gt;=1000, 0.85, 1))</f>
        <v>0.4944058641975308</v>
      </c>
    </row>
    <row r="73" spans="1:14">
      <c r="A73" t="s">
        <v>55</v>
      </c>
      <c r="B73" t="s">
        <v>37</v>
      </c>
      <c r="C73">
        <v>3</v>
      </c>
      <c r="D73">
        <v>0</v>
      </c>
      <c r="E73" t="s">
        <v>5</v>
      </c>
      <c r="F73" t="s">
        <v>38</v>
      </c>
      <c r="G73">
        <f>VLOOKUP(B73,Resultados_Apertura!$B$2:$H$154,6,FALSE)</f>
        <v>2335</v>
      </c>
      <c r="H73">
        <f>VLOOKUP(E73,Resultados_Apertura!$E$2:$H$154,4,FALSE)</f>
        <v>3050</v>
      </c>
      <c r="I73" s="10">
        <f>(SUMIF(Resultados_Apertura!$B$2:$B$154, B72, Resultados_Apertura!$C$2:$C$154) + SUMIF($B$2:$B71, B72, $C$2:$C71)) / (COUNTIF(Resultados_Apertura!$B$2:$B$154, B72) + COUNTIF($B$2:$B71, B72))</f>
        <v>1.6666666666666667</v>
      </c>
      <c r="J73" s="10">
        <f>(SUMIF(Resultados_Apertura!$B$2:$B$154, B72, Resultados_Apertura!$D$2:$D$154) + SUMIF($B$2:$B71, B72, $D$2:$D71)) / (COUNTIF(Resultados_Apertura!$B$2:$B$154, B72) + COUNTIF($B$2:$B71, B72))</f>
        <v>1.6666666666666667</v>
      </c>
      <c r="K73" s="10">
        <f>(SUMIF(Resultados_Apertura!$E$2:$E$154, E72, Resultados_Apertura!$D$2:$D$154) + SUMIF($E$2:$E71, E72, $D$2:$D71)) / (COUNTIF(Resultados_Apertura!$E$2:$E$154, E72) + COUNTIF($E$2:$E71, E72))</f>
        <v>1</v>
      </c>
      <c r="L73" s="10">
        <f>(SUMIF(Resultados_Apertura!$E$2:$E$154, E72, Resultados_Apertura!$C$2:$C$154) + SUMIF($E$2:$E71, E72, $C$2:$C71)) / (COUNTIF(Resultados_Apertura!$E$2:$E$154, E72) + COUNTIF($E$2:$E71, E72))</f>
        <v>0.66666666666666663</v>
      </c>
      <c r="M73" s="9">
        <f>((I73 * L73) / Formulas!$D$2) * IF(H73&gt;=2000, 1.2, IF(H73&gt;=1000, 1.1, 1))</f>
        <v>0.79251700680272108</v>
      </c>
      <c r="N73" s="9">
        <f>((K73 * J73) / Formulas!$D$6) * IF(H73&gt;=2000, 0.75, IF(H73&gt;=1000, 0.85, 1))</f>
        <v>1.1557539682539681</v>
      </c>
    </row>
    <row r="74" spans="1:14">
      <c r="A74" t="s">
        <v>63</v>
      </c>
      <c r="B74" t="s">
        <v>44</v>
      </c>
      <c r="C74">
        <v>1</v>
      </c>
      <c r="D74">
        <v>2</v>
      </c>
      <c r="E74" t="s">
        <v>32</v>
      </c>
      <c r="F74" t="s">
        <v>31</v>
      </c>
      <c r="G74">
        <f>VLOOKUP(B74,Resultados_Apertura!$B$2:$H$154,6,FALSE)</f>
        <v>2750</v>
      </c>
      <c r="H74">
        <f>VLOOKUP(E74,Resultados_Apertura!$E$2:$H$154,4,FALSE)</f>
        <v>209</v>
      </c>
      <c r="I74" s="10">
        <f>(SUMIF(Resultados_Apertura!$B$2:$B$154, B73, Resultados_Apertura!$C$2:$C$154) + SUMIF($B$2:$B72, B73, $C$2:$C72)) / (COUNTIF(Resultados_Apertura!$B$2:$B$154, B73) + COUNTIF($B$2:$B72, B73))</f>
        <v>2</v>
      </c>
      <c r="J74" s="10">
        <f>(SUMIF(Resultados_Apertura!$B$2:$B$154, B73, Resultados_Apertura!$D$2:$D$154) + SUMIF($B$2:$B72, B73, $D$2:$D72)) / (COUNTIF(Resultados_Apertura!$B$2:$B$154, B73) + COUNTIF($B$2:$B72, B73))</f>
        <v>1.1666666666666667</v>
      </c>
      <c r="K74" s="10">
        <f>(SUMIF(Resultados_Apertura!$E$2:$E$154, E73, Resultados_Apertura!$D$2:$D$154) + SUMIF($E$2:$E72, E73, $D$2:$D72)) / (COUNTIF(Resultados_Apertura!$E$2:$E$154, E73) + COUNTIF($E$2:$E72, E73))</f>
        <v>0.90909090909090906</v>
      </c>
      <c r="L74" s="10">
        <f>(SUMIF(Resultados_Apertura!$E$2:$E$154, E73, Resultados_Apertura!$C$2:$C$154) + SUMIF($E$2:$E72, E73, $C$2:$C72)) / (COUNTIF(Resultados_Apertura!$E$2:$E$154, E73) + COUNTIF($E$2:$E72, E73))</f>
        <v>1.8181818181818181</v>
      </c>
      <c r="M74" s="9">
        <f>((I74 * L74) / Formulas!$D$2) * IF(H74&gt;=2000, 1.2, IF(H74&gt;=1000, 1.1, 1))</f>
        <v>2.1614100185528757</v>
      </c>
      <c r="N74" s="9">
        <f>((K74 * J74) / Formulas!$D$6) * IF(H74&gt;=2000, 0.75, IF(H74&gt;=1000, 0.85, 1))</f>
        <v>0.98063973063973053</v>
      </c>
    </row>
    <row r="75" spans="1:14">
      <c r="A75" t="s">
        <v>63</v>
      </c>
      <c r="B75" t="s">
        <v>23</v>
      </c>
      <c r="C75">
        <v>0</v>
      </c>
      <c r="D75">
        <v>1</v>
      </c>
      <c r="E75" t="s">
        <v>37</v>
      </c>
      <c r="F75" t="s">
        <v>18</v>
      </c>
      <c r="G75">
        <f>VLOOKUP(B75,Resultados_Apertura!$B$2:$H$154,6,FALSE)</f>
        <v>3399</v>
      </c>
      <c r="H75">
        <f>VLOOKUP(E75,Resultados_Apertura!$E$2:$H$154,4,FALSE)</f>
        <v>2335</v>
      </c>
      <c r="I75" s="10">
        <f>(SUMIF(Resultados_Apertura!$B$2:$B$154, B74, Resultados_Apertura!$C$2:$C$154) + SUMIF($B$2:$B73, B74, $C$2:$C73)) / (COUNTIF(Resultados_Apertura!$B$2:$B$154, B74) + COUNTIF($B$2:$B73, B74))</f>
        <v>1.0833333333333333</v>
      </c>
      <c r="J75" s="10">
        <f>(SUMIF(Resultados_Apertura!$B$2:$B$154, B74, Resultados_Apertura!$D$2:$D$154) + SUMIF($B$2:$B73, B74, $D$2:$D73)) / (COUNTIF(Resultados_Apertura!$B$2:$B$154, B74) + COUNTIF($B$2:$B73, B74))</f>
        <v>1.3333333333333333</v>
      </c>
      <c r="K75" s="10">
        <f>(SUMIF(Resultados_Apertura!$E$2:$E$154, E74, Resultados_Apertura!$D$2:$D$154) + SUMIF($E$2:$E73, E74, $D$2:$D73)) / (COUNTIF(Resultados_Apertura!$E$2:$E$154, E74) + COUNTIF($E$2:$E73, E74))</f>
        <v>1.25</v>
      </c>
      <c r="L75" s="10">
        <f>(SUMIF(Resultados_Apertura!$E$2:$E$154, E74, Resultados_Apertura!$C$2:$C$154) + SUMIF($E$2:$E73, E74, $C$2:$C73)) / (COUNTIF(Resultados_Apertura!$E$2:$E$154, E74) + COUNTIF($E$2:$E73, E74))</f>
        <v>2.5</v>
      </c>
      <c r="M75" s="9">
        <f>((I75 * L75) / Formulas!$D$2) * IF(H75&gt;=2000, 1.2, IF(H75&gt;=1000, 1.1, 1))</f>
        <v>1.9317602040816324</v>
      </c>
      <c r="N75" s="9">
        <f>((K75 * J75) / Formulas!$D$6) * IF(H75&gt;=2000, 0.75, IF(H75&gt;=1000, 0.85, 1))</f>
        <v>1.1557539682539679</v>
      </c>
    </row>
    <row r="76" spans="1:14">
      <c r="A76" t="s">
        <v>63</v>
      </c>
      <c r="B76" t="s">
        <v>35</v>
      </c>
      <c r="C76">
        <v>1</v>
      </c>
      <c r="D76">
        <v>2</v>
      </c>
      <c r="E76" t="s">
        <v>30</v>
      </c>
      <c r="F76" t="s">
        <v>36</v>
      </c>
      <c r="G76">
        <f>VLOOKUP(B76,Resultados_Apertura!$B$2:$H$154,6,FALSE)</f>
        <v>2926</v>
      </c>
      <c r="H76">
        <f>VLOOKUP(E76,Resultados_Apertura!$E$2:$H$154,4,FALSE)</f>
        <v>2750</v>
      </c>
      <c r="I76" s="10">
        <f>(SUMIF(Resultados_Apertura!$B$2:$B$154, B75, Resultados_Apertura!$C$2:$C$154) + SUMIF($B$2:$B74, B75, $C$2:$C74)) / (COUNTIF(Resultados_Apertura!$B$2:$B$154, B75) + COUNTIF($B$2:$B74, B75))</f>
        <v>1.9166666666666667</v>
      </c>
      <c r="J76" s="10">
        <f>(SUMIF(Resultados_Apertura!$B$2:$B$154, B75, Resultados_Apertura!$D$2:$D$154) + SUMIF($B$2:$B74, B75, $D$2:$D74)) / (COUNTIF(Resultados_Apertura!$B$2:$B$154, B75) + COUNTIF($B$2:$B74, B75))</f>
        <v>0.66666666666666663</v>
      </c>
      <c r="K76" s="10">
        <f>(SUMIF(Resultados_Apertura!$E$2:$E$154, E75, Resultados_Apertura!$D$2:$D$154) + SUMIF($E$2:$E74, E75, $D$2:$D74)) / (COUNTIF(Resultados_Apertura!$E$2:$E$154, E75) + COUNTIF($E$2:$E74, E75))</f>
        <v>1.3333333333333333</v>
      </c>
      <c r="L76" s="10">
        <f>(SUMIF(Resultados_Apertura!$E$2:$E$154, E75, Resultados_Apertura!$C$2:$C$154) + SUMIF($E$2:$E74, E75, $C$2:$C74)) / (COUNTIF(Resultados_Apertura!$E$2:$E$154, E75) + COUNTIF($E$2:$E74, E75))</f>
        <v>1.1666666666666667</v>
      </c>
      <c r="M76" s="9">
        <f>((I76 * L76) / Formulas!$D$2) * IF(H76&gt;=2000, 1.2, IF(H76&gt;=1000, 1.1, 1))</f>
        <v>1.5949404761904762</v>
      </c>
      <c r="N76" s="9">
        <f>((K76 * J76) / Formulas!$D$6) * IF(H76&gt;=2000, 0.75, IF(H76&gt;=1000, 0.85, 1))</f>
        <v>0.61640211640211628</v>
      </c>
    </row>
    <row r="77" spans="1:14">
      <c r="A77" t="s">
        <v>63</v>
      </c>
      <c r="B77" t="s">
        <v>19</v>
      </c>
      <c r="C77">
        <v>0</v>
      </c>
      <c r="D77">
        <v>1</v>
      </c>
      <c r="E77" t="s">
        <v>24</v>
      </c>
      <c r="F77" t="s">
        <v>20</v>
      </c>
      <c r="G77">
        <f>VLOOKUP(B77,Resultados_Apertura!$B$2:$H$154,6,FALSE)</f>
        <v>2637</v>
      </c>
      <c r="H77">
        <f>VLOOKUP(E77,Resultados_Apertura!$E$2:$H$154,4,FALSE)</f>
        <v>3259</v>
      </c>
      <c r="I77" s="10">
        <f>(SUMIF(Resultados_Apertura!$B$2:$B$154, B76, Resultados_Apertura!$C$2:$C$154) + SUMIF($B$2:$B75, B76, $C$2:$C75)) / (COUNTIF(Resultados_Apertura!$B$2:$B$154, B76) + COUNTIF($B$2:$B75, B76))</f>
        <v>1.7692307692307692</v>
      </c>
      <c r="J77" s="10">
        <f>(SUMIF(Resultados_Apertura!$B$2:$B$154, B76, Resultados_Apertura!$D$2:$D$154) + SUMIF($B$2:$B75, B76, $D$2:$D75)) / (COUNTIF(Resultados_Apertura!$B$2:$B$154, B76) + COUNTIF($B$2:$B75, B76))</f>
        <v>1.3076923076923077</v>
      </c>
      <c r="K77" s="10">
        <f>(SUMIF(Resultados_Apertura!$E$2:$E$154, E76, Resultados_Apertura!$D$2:$D$154) + SUMIF($E$2:$E75, E76, $D$2:$D75)) / (COUNTIF(Resultados_Apertura!$E$2:$E$154, E76) + COUNTIF($E$2:$E75, E76))</f>
        <v>1.25</v>
      </c>
      <c r="L77" s="10">
        <f>(SUMIF(Resultados_Apertura!$E$2:$E$154, E76, Resultados_Apertura!$C$2:$C$154) + SUMIF($E$2:$E75, E76, $C$2:$C75)) / (COUNTIF(Resultados_Apertura!$E$2:$E$154, E76) + COUNTIF($E$2:$E75, E76))</f>
        <v>1.75</v>
      </c>
      <c r="M77" s="9">
        <f>((I77 * L77) / Formulas!$D$2) * IF(H77&gt;=2000, 1.2, IF(H77&gt;=1000, 1.1, 1))</f>
        <v>2.2083791208791204</v>
      </c>
      <c r="N77" s="9">
        <f>((K77 * J77) / Formulas!$D$6) * IF(H77&gt;=2000, 0.75, IF(H77&gt;=1000, 0.85, 1))</f>
        <v>1.1335279304029302</v>
      </c>
    </row>
    <row r="78" spans="1:14">
      <c r="A78" t="s">
        <v>63</v>
      </c>
      <c r="B78" t="s">
        <v>27</v>
      </c>
      <c r="C78">
        <v>1</v>
      </c>
      <c r="D78">
        <v>2</v>
      </c>
      <c r="E78" t="s">
        <v>42</v>
      </c>
      <c r="F78" t="s">
        <v>28</v>
      </c>
      <c r="G78">
        <f>VLOOKUP(B78,Resultados_Apertura!$B$2:$H$154,6,FALSE)</f>
        <v>1410</v>
      </c>
      <c r="H78">
        <f>VLOOKUP(E78,Resultados_Apertura!$E$2:$H$154,4,FALSE)</f>
        <v>150</v>
      </c>
      <c r="I78" s="10">
        <f>(SUMIF(Resultados_Apertura!$B$2:$B$154, B77, Resultados_Apertura!$C$2:$C$154) + SUMIF($B$2:$B76, B77, $C$2:$C76)) / (COUNTIF(Resultados_Apertura!$B$2:$B$154, B77) + COUNTIF($B$2:$B76, B77))</f>
        <v>1.3333333333333333</v>
      </c>
      <c r="J78" s="10">
        <f>(SUMIF(Resultados_Apertura!$B$2:$B$154, B77, Resultados_Apertura!$D$2:$D$154) + SUMIF($B$2:$B76, B77, $D$2:$D76)) / (COUNTIF(Resultados_Apertura!$B$2:$B$154, B77) + COUNTIF($B$2:$B76, B77))</f>
        <v>0.91666666666666663</v>
      </c>
      <c r="K78" s="10">
        <f>(SUMIF(Resultados_Apertura!$E$2:$E$154, E77, Resultados_Apertura!$D$2:$D$154) + SUMIF($E$2:$E76, E77, $D$2:$D76)) / (COUNTIF(Resultados_Apertura!$E$2:$E$154, E77) + COUNTIF($E$2:$E76, E77))</f>
        <v>1.2307692307692308</v>
      </c>
      <c r="L78" s="10">
        <f>(SUMIF(Resultados_Apertura!$E$2:$E$154, E77, Resultados_Apertura!$C$2:$C$154) + SUMIF($E$2:$E76, E77, $C$2:$C76)) / (COUNTIF(Resultados_Apertura!$E$2:$E$154, E77) + COUNTIF($E$2:$E76, E77))</f>
        <v>2.2307692307692308</v>
      </c>
      <c r="M78" s="9">
        <f>((I78 * L78) / Formulas!$D$2) * IF(H78&gt;=2000, 1.2, IF(H78&gt;=1000, 1.1, 1))</f>
        <v>1.7679225536368395</v>
      </c>
      <c r="N78" s="9">
        <f>((K78 * J78) / Formulas!$D$6) * IF(H78&gt;=2000, 0.75, IF(H78&gt;=1000, 0.85, 1))</f>
        <v>1.0431420431420431</v>
      </c>
    </row>
    <row r="79" spans="1:14">
      <c r="A79" t="s">
        <v>63</v>
      </c>
      <c r="B79" t="s">
        <v>12</v>
      </c>
      <c r="C79">
        <v>1</v>
      </c>
      <c r="D79">
        <v>2</v>
      </c>
      <c r="E79" t="s">
        <v>43</v>
      </c>
      <c r="F79" t="s">
        <v>13</v>
      </c>
      <c r="G79">
        <f>VLOOKUP(B79,Resultados_Apertura!$B$2:$H$154,6,FALSE)</f>
        <v>150</v>
      </c>
      <c r="H79">
        <f>VLOOKUP(E79,Resultados_Apertura!$E$2:$H$154,4,FALSE)</f>
        <v>150</v>
      </c>
      <c r="I79" s="10">
        <f>(SUMIF(Resultados_Apertura!$B$2:$B$154, B78, Resultados_Apertura!$C$2:$C$154) + SUMIF($B$2:$B77, B78, $C$2:$C77)) / (COUNTIF(Resultados_Apertura!$B$2:$B$154, B78) + COUNTIF($B$2:$B77, B78))</f>
        <v>1.4166666666666667</v>
      </c>
      <c r="J79" s="10">
        <f>(SUMIF(Resultados_Apertura!$B$2:$B$154, B78, Resultados_Apertura!$D$2:$D$154) + SUMIF($B$2:$B77, B78, $D$2:$D77)) / (COUNTIF(Resultados_Apertura!$B$2:$B$154, B78) + COUNTIF($B$2:$B77, B78))</f>
        <v>1.3333333333333333</v>
      </c>
      <c r="K79" s="10">
        <f>(SUMIF(Resultados_Apertura!$E$2:$E$154, E78, Resultados_Apertura!$D$2:$D$154) + SUMIF($E$2:$E77, E78, $D$2:$D77)) / (COUNTIF(Resultados_Apertura!$E$2:$E$154, E78) + COUNTIF($E$2:$E77, E78))</f>
        <v>1.0769230769230769</v>
      </c>
      <c r="L79" s="10">
        <f>(SUMIF(Resultados_Apertura!$E$2:$E$154, E78, Resultados_Apertura!$C$2:$C$154) + SUMIF($E$2:$E77, E78, $C$2:$C77)) / (COUNTIF(Resultados_Apertura!$E$2:$E$154, E78) + COUNTIF($E$2:$E77, E78))</f>
        <v>1.9230769230769231</v>
      </c>
      <c r="M79" s="9">
        <f>((I79 * L79) / Formulas!$D$2) * IF(H79&gt;=2000, 1.2, IF(H79&gt;=1000, 1.1, 1))</f>
        <v>1.6193256148613291</v>
      </c>
      <c r="N79" s="9">
        <f>((K79 * J79) / Formulas!$D$6) * IF(H79&gt;=2000, 0.75, IF(H79&gt;=1000, 0.85, 1))</f>
        <v>1.3276353276353272</v>
      </c>
    </row>
    <row r="80" spans="1:14">
      <c r="A80" t="s">
        <v>63</v>
      </c>
      <c r="B80" t="s">
        <v>39</v>
      </c>
      <c r="C80">
        <v>1</v>
      </c>
      <c r="D80">
        <v>0</v>
      </c>
      <c r="E80" t="s">
        <v>26</v>
      </c>
      <c r="F80" t="s">
        <v>40</v>
      </c>
      <c r="G80">
        <f>VLOOKUP(B80,Resultados_Apertura!$B$2:$H$154,6,FALSE)</f>
        <v>5</v>
      </c>
      <c r="H80">
        <f>VLOOKUP(E80,Resultados_Apertura!$E$2:$H$154,4,FALSE)</f>
        <v>3399</v>
      </c>
      <c r="I80" s="10">
        <f>(SUMIF(Resultados_Apertura!$B$2:$B$154, B79, Resultados_Apertura!$C$2:$C$154) + SUMIF($B$2:$B78, B79, $C$2:$C78)) / (COUNTIF(Resultados_Apertura!$B$2:$B$154, B79) + COUNTIF($B$2:$B78, B79))</f>
        <v>2.3333333333333335</v>
      </c>
      <c r="J80" s="10">
        <f>(SUMIF(Resultados_Apertura!$B$2:$B$154, B79, Resultados_Apertura!$D$2:$D$154) + SUMIF($B$2:$B78, B79, $D$2:$D78)) / (COUNTIF(Resultados_Apertura!$B$2:$B$154, B79) + COUNTIF($B$2:$B78, B79))</f>
        <v>0.58333333333333337</v>
      </c>
      <c r="K80" s="10">
        <f>(SUMIF(Resultados_Apertura!$E$2:$E$154, E79, Resultados_Apertura!$D$2:$D$154) + SUMIF($E$2:$E78, E79, $D$2:$D78)) / (COUNTIF(Resultados_Apertura!$E$2:$E$154, E79) + COUNTIF($E$2:$E78, E79))</f>
        <v>1.5</v>
      </c>
      <c r="L80" s="10">
        <f>(SUMIF(Resultados_Apertura!$E$2:$E$154, E79, Resultados_Apertura!$C$2:$C$154) + SUMIF($E$2:$E78, E79, $C$2:$C78)) / (COUNTIF(Resultados_Apertura!$E$2:$E$154, E79) + COUNTIF($E$2:$E78, E79))</f>
        <v>1.3333333333333333</v>
      </c>
      <c r="M80" s="9">
        <f>((I80 * L80) / Formulas!$D$2) * IF(H80&gt;=2000, 1.2, IF(H80&gt;=1000, 1.1, 1))</f>
        <v>2.2190476190476192</v>
      </c>
      <c r="N80" s="9">
        <f>((K80 * J80) / Formulas!$D$6) * IF(H80&gt;=2000, 0.75, IF(H80&gt;=1000, 0.85, 1))</f>
        <v>0.60677083333333326</v>
      </c>
    </row>
    <row r="81" spans="1:14">
      <c r="A81" t="s">
        <v>63</v>
      </c>
      <c r="B81" t="s">
        <v>15</v>
      </c>
      <c r="C81">
        <v>3</v>
      </c>
      <c r="D81">
        <v>1</v>
      </c>
      <c r="E81" t="s">
        <v>9</v>
      </c>
      <c r="F81" t="s">
        <v>10</v>
      </c>
      <c r="G81">
        <f>VLOOKUP(B81,Resultados_Apertura!$B$2:$H$154,6,FALSE)</f>
        <v>29</v>
      </c>
      <c r="H81">
        <f>VLOOKUP(E81,Resultados_Apertura!$E$2:$H$154,4,FALSE)</f>
        <v>60</v>
      </c>
      <c r="I81" s="10">
        <f>(SUMIF(Resultados_Apertura!$B$2:$B$154, B80, Resultados_Apertura!$C$2:$C$154) + SUMIF($B$2:$B79, B80, $C$2:$C79)) / (COUNTIF(Resultados_Apertura!$B$2:$B$154, B80) + COUNTIF($B$2:$B79, B80))</f>
        <v>1.3846153846153846</v>
      </c>
      <c r="J81" s="10">
        <f>(SUMIF(Resultados_Apertura!$B$2:$B$154, B80, Resultados_Apertura!$D$2:$D$154) + SUMIF($B$2:$B79, B80, $D$2:$D79)) / (COUNTIF(Resultados_Apertura!$B$2:$B$154, B80) + COUNTIF($B$2:$B79, B80))</f>
        <v>0.53846153846153844</v>
      </c>
      <c r="K81" s="10">
        <f>(SUMIF(Resultados_Apertura!$E$2:$E$154, E80, Resultados_Apertura!$D$2:$D$154) + SUMIF($E$2:$E79, E80, $D$2:$D79)) / (COUNTIF(Resultados_Apertura!$E$2:$E$154, E80) + COUNTIF($E$2:$E79, E80))</f>
        <v>0.5</v>
      </c>
      <c r="L81" s="10">
        <f>(SUMIF(Resultados_Apertura!$E$2:$E$154, E80, Resultados_Apertura!$C$2:$C$154) + SUMIF($E$2:$E79, E80, $C$2:$C79)) / (COUNTIF(Resultados_Apertura!$E$2:$E$154, E80) + COUNTIF($E$2:$E79, E80))</f>
        <v>0.83333333333333337</v>
      </c>
      <c r="M81" s="9">
        <f>((I81 * L81) / Formulas!$D$2) * IF(H81&gt;=2000, 1.2, IF(H81&gt;=1000, 1.1, 1))</f>
        <v>0.68583202511773944</v>
      </c>
      <c r="N81" s="9">
        <f>((K81 * J81) / Formulas!$D$6) * IF(H81&gt;=2000, 0.75, IF(H81&gt;=1000, 0.85, 1))</f>
        <v>0.24893162393162391</v>
      </c>
    </row>
    <row r="82" spans="1:14">
      <c r="A82" t="s">
        <v>63</v>
      </c>
      <c r="B82" t="s">
        <v>5</v>
      </c>
      <c r="C82">
        <v>2</v>
      </c>
      <c r="D82">
        <v>1</v>
      </c>
      <c r="E82" t="s">
        <v>17</v>
      </c>
      <c r="F82" t="s">
        <v>6</v>
      </c>
      <c r="G82">
        <f>VLOOKUP(B82,Resultados_Apertura!$B$2:$H$154,6,FALSE)</f>
        <v>3050</v>
      </c>
      <c r="H82">
        <f>VLOOKUP(E82,Resultados_Apertura!$E$2:$H$154,4,FALSE)</f>
        <v>3399</v>
      </c>
      <c r="I82" s="10">
        <f>(SUMIF(Resultados_Apertura!$B$2:$B$154, B81, Resultados_Apertura!$C$2:$C$154) + SUMIF($B$2:$B80, B81, $C$2:$C80)) / (COUNTIF(Resultados_Apertura!$B$2:$B$154, B81) + COUNTIF($B$2:$B80, B81))</f>
        <v>1.0833333333333333</v>
      </c>
      <c r="J82" s="10">
        <f>(SUMIF(Resultados_Apertura!$B$2:$B$154, B81, Resultados_Apertura!$D$2:$D$154) + SUMIF($B$2:$B80, B81, $D$2:$D80)) / (COUNTIF(Resultados_Apertura!$B$2:$B$154, B81) + COUNTIF($B$2:$B80, B81))</f>
        <v>0.66666666666666663</v>
      </c>
      <c r="K82" s="10">
        <f>(SUMIF(Resultados_Apertura!$E$2:$E$154, E81, Resultados_Apertura!$D$2:$D$154) + SUMIF($E$2:$E80, E81, $D$2:$D80)) / (COUNTIF(Resultados_Apertura!$E$2:$E$154, E81) + COUNTIF($E$2:$E80, E81))</f>
        <v>1.2307692307692308</v>
      </c>
      <c r="L82" s="10">
        <f>(SUMIF(Resultados_Apertura!$E$2:$E$154, E81, Resultados_Apertura!$C$2:$C$154) + SUMIF($E$2:$E80, E81, $C$2:$C80)) / (COUNTIF(Resultados_Apertura!$E$2:$E$154, E81) + COUNTIF($E$2:$E80, E81))</f>
        <v>1.6923076923076923</v>
      </c>
      <c r="M82" s="9">
        <f>((I82 * L82) / Formulas!$D$2) * IF(H82&gt;=2000, 1.2, IF(H82&gt;=1000, 1.1, 1))</f>
        <v>1.3076530612244899</v>
      </c>
      <c r="N82" s="9">
        <f>((K82 * J82) / Formulas!$D$6) * IF(H82&gt;=2000, 0.75, IF(H82&gt;=1000, 0.85, 1))</f>
        <v>0.56898656898656896</v>
      </c>
    </row>
    <row r="83" spans="1:14">
      <c r="A83" t="s">
        <v>102</v>
      </c>
      <c r="B83" t="s">
        <v>9</v>
      </c>
      <c r="C83">
        <v>2</v>
      </c>
      <c r="D83">
        <v>1</v>
      </c>
      <c r="E83" t="s">
        <v>19</v>
      </c>
      <c r="F83" t="s">
        <v>10</v>
      </c>
      <c r="G83">
        <f>VLOOKUP(B83,Resultados_Apertura!$B$2:$H$154,6,FALSE)</f>
        <v>60</v>
      </c>
      <c r="H83">
        <f>VLOOKUP(E83,Resultados_Apertura!$E$2:$H$154,4,FALSE)</f>
        <v>2637</v>
      </c>
      <c r="I83" s="10">
        <f>(SUMIF(Resultados_Apertura!$B$2:$B$154, B81, Resultados_Apertura!$C$2:$C$154) + SUMIF($B$2:$B80, B81, $C$2:$C80)) / (COUNTIF(Resultados_Apertura!$B$2:$B$154, B81) + COUNTIF($B$2:$B80, B81))</f>
        <v>1.0833333333333333</v>
      </c>
      <c r="J83" s="10">
        <f>(SUMIF(Resultados_Apertura!$B$2:$B$154, B81, Resultados_Apertura!$D$2:$D$154) + SUMIF($B$2:$B80, B81, $D$2:$D80)) / (COUNTIF(Resultados_Apertura!$B$2:$B$154, B81) + COUNTIF($B$2:$B80, B81))</f>
        <v>0.66666666666666663</v>
      </c>
      <c r="K83" s="10">
        <f>(SUMIF(Resultados_Apertura!$E$2:$E$154, E81, Resultados_Apertura!$D$2:$D$154) + SUMIF($E$2:$E80, E81, $D$2:$D80)) / (COUNTIF(Resultados_Apertura!$E$2:$E$154, E81) + COUNTIF($E$2:$E80, E81))</f>
        <v>1.2307692307692308</v>
      </c>
      <c r="L83" s="10">
        <f>(SUMIF(Resultados_Apertura!$E$2:$E$154, E81, Resultados_Apertura!$C$2:$C$154) + SUMIF($E$2:$E80, E81, $C$2:$C80)) / (COUNTIF(Resultados_Apertura!$E$2:$E$154, E81) + COUNTIF($E$2:$E80, E81))</f>
        <v>1.6923076923076923</v>
      </c>
      <c r="M83" s="9">
        <f>((I83 * L83) / Formulas!$D$2) * IF(H83&gt;=2000, 1.2, IF(H83&gt;=1000, 1.1, 1))</f>
        <v>1.3076530612244899</v>
      </c>
      <c r="N83" s="9">
        <f>((K83 * J83) / Formulas!$D$6) * IF(H83&gt;=2000, 0.75, IF(H83&gt;=1000, 0.85, 1))</f>
        <v>0.56898656898656896</v>
      </c>
    </row>
    <row r="84" spans="1:14">
      <c r="A84" t="s">
        <v>102</v>
      </c>
      <c r="B84" t="s">
        <v>12</v>
      </c>
      <c r="C84">
        <v>2</v>
      </c>
      <c r="D84">
        <v>0</v>
      </c>
      <c r="E84" t="s">
        <v>5</v>
      </c>
      <c r="F84" t="s">
        <v>13</v>
      </c>
      <c r="G84">
        <f>VLOOKUP(B84,Resultados_Apertura!$B$2:$H$154,6,FALSE)</f>
        <v>150</v>
      </c>
      <c r="H84">
        <f>VLOOKUP(E84,Resultados_Apertura!$E$2:$H$154,4,FALSE)</f>
        <v>3050</v>
      </c>
      <c r="I84" s="10">
        <f>(SUMIF(Resultados_Apertura!$B$2:$B$154, B83, Resultados_Apertura!$C$2:$C$154) + SUMIF($B$2:$B81, B83, $C$2:$C81)) / (COUNTIF(Resultados_Apertura!$B$2:$B$154, B83) + COUNTIF($B$2:$B81, B83))</f>
        <v>1.75</v>
      </c>
      <c r="J84" s="10">
        <f>(SUMIF(Resultados_Apertura!$B$2:$B$154, B83, Resultados_Apertura!$D$2:$D$154) + SUMIF($B$2:$B81, B83, $D$2:$D81)) / (COUNTIF(Resultados_Apertura!$B$2:$B$154, B83) + COUNTIF($B$2:$B81, B83))</f>
        <v>0.75</v>
      </c>
      <c r="K84" s="10">
        <f>(SUMIF(Resultados_Apertura!$E$2:$E$154, E83, Resultados_Apertura!$D$2:$D$154) + SUMIF($E$2:$E81, E83, $D$2:$D81)) / (COUNTIF(Resultados_Apertura!$E$2:$E$154, E83) + COUNTIF($E$2:$E81, E83))</f>
        <v>1.3846153846153846</v>
      </c>
      <c r="L84" s="10">
        <f>(SUMIF(Resultados_Apertura!$E$2:$E$154, E83, Resultados_Apertura!$C$2:$C$154) + SUMIF($E$2:$E81, E83, $C$2:$C81)) / (COUNTIF(Resultados_Apertura!$E$2:$E$154, E83) + COUNTIF($E$2:$E81, E83))</f>
        <v>1.8461538461538463</v>
      </c>
      <c r="M84" s="9">
        <f>((I84 * L84) / Formulas!$D$2) * IF(H84&gt;=2000, 1.2, IF(H84&gt;=1000, 1.1, 1))</f>
        <v>2.3043956043956042</v>
      </c>
      <c r="N84" s="9">
        <f>((K84 * J84) / Formulas!$D$6) * IF(H84&gt;=2000, 0.75, IF(H84&gt;=1000, 0.85, 1))</f>
        <v>0.72012362637362626</v>
      </c>
    </row>
    <row r="85" spans="1:14">
      <c r="A85" t="s">
        <v>102</v>
      </c>
      <c r="B85" t="s">
        <v>30</v>
      </c>
      <c r="C85">
        <v>1</v>
      </c>
      <c r="D85">
        <v>2</v>
      </c>
      <c r="E85" t="s">
        <v>23</v>
      </c>
      <c r="F85" t="s">
        <v>31</v>
      </c>
      <c r="G85">
        <f>VLOOKUP(B85,Resultados_Apertura!$B$2:$H$154,6,FALSE)</f>
        <v>2750</v>
      </c>
      <c r="H85">
        <f>VLOOKUP(E85,Resultados_Apertura!$E$2:$H$154,4,FALSE)</f>
        <v>3399</v>
      </c>
      <c r="I85" s="10">
        <f>(SUMIF(Resultados_Apertura!$B$2:$B$154, B84, Resultados_Apertura!$C$2:$C$154) + SUMIF($B$2:$B83, B84, $C$2:$C83)) / (COUNTIF(Resultados_Apertura!$B$2:$B$154, B84) + COUNTIF($B$2:$B83, B84))</f>
        <v>2.2307692307692308</v>
      </c>
      <c r="J85" s="10">
        <f>(SUMIF(Resultados_Apertura!$B$2:$B$154, B84, Resultados_Apertura!$D$2:$D$154) + SUMIF($B$2:$B83, B84, $D$2:$D83)) / (COUNTIF(Resultados_Apertura!$B$2:$B$154, B84) + COUNTIF($B$2:$B83, B84))</f>
        <v>0.69230769230769229</v>
      </c>
      <c r="K85" s="10">
        <f>(SUMIF(Resultados_Apertura!$E$2:$E$154, E84, Resultados_Apertura!$D$2:$D$154) + SUMIF($E$2:$E83, E84, $D$2:$D83)) / (COUNTIF(Resultados_Apertura!$E$2:$E$154, E84) + COUNTIF($E$2:$E83, E84))</f>
        <v>0.83333333333333337</v>
      </c>
      <c r="L85" s="10">
        <f>(SUMIF(Resultados_Apertura!$E$2:$E$154, E84, Resultados_Apertura!$C$2:$C$154) + SUMIF($E$2:$E83, E84, $C$2:$C83)) / (COUNTIF(Resultados_Apertura!$E$2:$E$154, E84) + COUNTIF($E$2:$E83, E84))</f>
        <v>1.9166666666666667</v>
      </c>
      <c r="M85" s="9">
        <f>((I85 * L85) / Formulas!$D$2) * IF(H85&gt;=2000, 1.2, IF(H85&gt;=1000, 1.1, 1))</f>
        <v>3.0496664050235474</v>
      </c>
      <c r="N85" s="9">
        <f>((K85 * J85) / Formulas!$D$6) * IF(H85&gt;=2000, 0.75, IF(H85&gt;=1000, 0.85, 1))</f>
        <v>0.40006868131868134</v>
      </c>
    </row>
    <row r="86" spans="1:14">
      <c r="A86" t="s">
        <v>102</v>
      </c>
      <c r="B86" t="s">
        <v>42</v>
      </c>
      <c r="C86">
        <v>3</v>
      </c>
      <c r="D86">
        <v>1</v>
      </c>
      <c r="E86" t="s">
        <v>15</v>
      </c>
      <c r="F86" t="s">
        <v>13</v>
      </c>
      <c r="G86">
        <f>VLOOKUP(B86,Resultados_Apertura!$B$2:$H$154,6,FALSE)</f>
        <v>150</v>
      </c>
      <c r="H86">
        <f>VLOOKUP(E86,Resultados_Apertura!$E$2:$H$154,4,FALSE)</f>
        <v>29</v>
      </c>
      <c r="I86" s="10">
        <f>(SUMIF(Resultados_Apertura!$B$2:$B$154, B85, Resultados_Apertura!$C$2:$C$154) + SUMIF($B$2:$B84, B85, $C$2:$C84)) / (COUNTIF(Resultados_Apertura!$B$2:$B$154, B85) + COUNTIF($B$2:$B84, B85))</f>
        <v>1.7692307692307692</v>
      </c>
      <c r="J86" s="10">
        <f>(SUMIF(Resultados_Apertura!$B$2:$B$154, B85, Resultados_Apertura!$D$2:$D$154) + SUMIF($B$2:$B84, B85, $D$2:$D84)) / (COUNTIF(Resultados_Apertura!$B$2:$B$154, B85) + COUNTIF($B$2:$B84, B85))</f>
        <v>2.1538461538461537</v>
      </c>
      <c r="K86" s="10">
        <f>(SUMIF(Resultados_Apertura!$E$2:$E$154, E85, Resultados_Apertura!$D$2:$D$154) + SUMIF($E$2:$E84, E85, $D$2:$D84)) / (COUNTIF(Resultados_Apertura!$E$2:$E$154, E85) + COUNTIF($E$2:$E84, E85))</f>
        <v>1.1538461538461537</v>
      </c>
      <c r="L86" s="10">
        <f>(SUMIF(Resultados_Apertura!$E$2:$E$154, E85, Resultados_Apertura!$C$2:$C$154) + SUMIF($E$2:$E84, E85, $C$2:$C84)) / (COUNTIF(Resultados_Apertura!$E$2:$E$154, E85) + COUNTIF($E$2:$E84, E85))</f>
        <v>2.1538461538461537</v>
      </c>
      <c r="M86" s="9">
        <f>((I86 * L86) / Formulas!$D$2) * IF(H86&gt;=2000, 1.2, IF(H86&gt;=1000, 1.1, 1))</f>
        <v>2.265004226542688</v>
      </c>
      <c r="N86" s="9">
        <f>((K86 * J86) / Formulas!$D$6) * IF(H86&gt;=2000, 0.75, IF(H86&gt;=1000, 0.85, 1))</f>
        <v>2.2978303747534512</v>
      </c>
    </row>
    <row r="87" spans="1:14">
      <c r="A87" t="s">
        <v>102</v>
      </c>
      <c r="B87" t="s">
        <v>26</v>
      </c>
      <c r="C87">
        <v>4</v>
      </c>
      <c r="D87">
        <v>0</v>
      </c>
      <c r="E87" t="s">
        <v>43</v>
      </c>
      <c r="F87" t="s">
        <v>18</v>
      </c>
      <c r="G87">
        <f>VLOOKUP(B87,Resultados_Apertura!$B$2:$H$154,6,FALSE)</f>
        <v>3399</v>
      </c>
      <c r="H87">
        <f>VLOOKUP(E87,Resultados_Apertura!$E$2:$H$154,4,FALSE)</f>
        <v>150</v>
      </c>
      <c r="I87" s="10">
        <f>(SUMIF(Resultados_Apertura!$B$2:$B$154, B86, Resultados_Apertura!$C$2:$C$154) + SUMIF($B$2:$B85, B86, $C$2:$C85)) / (COUNTIF(Resultados_Apertura!$B$2:$B$154, B86) + COUNTIF($B$2:$B85, B86))</f>
        <v>2.4166666666666665</v>
      </c>
      <c r="J87" s="10">
        <f>(SUMIF(Resultados_Apertura!$B$2:$B$154, B86, Resultados_Apertura!$D$2:$D$154) + SUMIF($B$2:$B85, B86, $D$2:$D85)) / (COUNTIF(Resultados_Apertura!$B$2:$B$154, B86) + COUNTIF($B$2:$B85, B86))</f>
        <v>1.0833333333333333</v>
      </c>
      <c r="K87" s="10">
        <f>(SUMIF(Resultados_Apertura!$E$2:$E$154, E86, Resultados_Apertura!$D$2:$D$154) + SUMIF($E$2:$E85, E86, $D$2:$D85)) / (COUNTIF(Resultados_Apertura!$E$2:$E$154, E86) + COUNTIF($E$2:$E85, E86))</f>
        <v>0.69230769230769229</v>
      </c>
      <c r="L87" s="10">
        <f>(SUMIF(Resultados_Apertura!$E$2:$E$154, E86, Resultados_Apertura!$C$2:$C$154) + SUMIF($E$2:$E85, E86, $C$2:$C85)) / (COUNTIF(Resultados_Apertura!$E$2:$E$154, E86) + COUNTIF($E$2:$E85, E86))</f>
        <v>1.4615384615384615</v>
      </c>
      <c r="M87" s="9">
        <f>((I87 * L87) / Formulas!$D$2) * IF(H87&gt;=2000, 1.2, IF(H87&gt;=1000, 1.1, 1))</f>
        <v>2.0994080324437463</v>
      </c>
      <c r="N87" s="9">
        <f>((K87 * J87) / Formulas!$D$6) * IF(H87&gt;=2000, 0.75, IF(H87&gt;=1000, 0.85, 1))</f>
        <v>0.69345238095238082</v>
      </c>
    </row>
    <row r="88" spans="1:14">
      <c r="A88" t="s">
        <v>102</v>
      </c>
      <c r="B88" t="s">
        <v>37</v>
      </c>
      <c r="C88">
        <v>1</v>
      </c>
      <c r="D88">
        <v>1</v>
      </c>
      <c r="E88" t="s">
        <v>39</v>
      </c>
      <c r="F88" t="s">
        <v>38</v>
      </c>
      <c r="G88">
        <f>VLOOKUP(B88,Resultados_Apertura!$B$2:$H$154,6,FALSE)</f>
        <v>2335</v>
      </c>
      <c r="H88">
        <f>VLOOKUP(E88,Resultados_Apertura!$E$2:$H$154,4,FALSE)</f>
        <v>5</v>
      </c>
      <c r="I88" s="10">
        <f>(SUMIF(Resultados_Apertura!$B$2:$B$154, B87, Resultados_Apertura!$C$2:$C$154) + SUMIF($B$2:$B86, B87, $C$2:$C86)) / (COUNTIF(Resultados_Apertura!$B$2:$B$154, B87) + COUNTIF($B$2:$B86, B87))</f>
        <v>2.2307692307692308</v>
      </c>
      <c r="J88" s="10">
        <f>(SUMIF(Resultados_Apertura!$B$2:$B$154, B87, Resultados_Apertura!$D$2:$D$154) + SUMIF($B$2:$B86, B87, $D$2:$D86)) / (COUNTIF(Resultados_Apertura!$B$2:$B$154, B87) + COUNTIF($B$2:$B86, B87))</f>
        <v>1</v>
      </c>
      <c r="K88" s="10">
        <f>(SUMIF(Resultados_Apertura!$E$2:$E$154, E87, Resultados_Apertura!$D$2:$D$154) + SUMIF($E$2:$E86, E87, $D$2:$D86)) / (COUNTIF(Resultados_Apertura!$E$2:$E$154, E87) + COUNTIF($E$2:$E86, E87))</f>
        <v>1.5384615384615385</v>
      </c>
      <c r="L88" s="10">
        <f>(SUMIF(Resultados_Apertura!$E$2:$E$154, E87, Resultados_Apertura!$C$2:$C$154) + SUMIF($E$2:$E86, E87, $C$2:$C86)) / (COUNTIF(Resultados_Apertura!$E$2:$E$154, E87) + COUNTIF($E$2:$E86, E87))</f>
        <v>1.3076923076923077</v>
      </c>
      <c r="M88" s="9">
        <f>((I88 * L88) / Formulas!$D$2) * IF(H88&gt;=2000, 1.2, IF(H88&gt;=1000, 1.1, 1))</f>
        <v>1.7339240429899772</v>
      </c>
      <c r="N88" s="9">
        <f>((K88 * J88) / Formulas!$D$6) * IF(H88&gt;=2000, 0.75, IF(H88&gt;=1000, 0.85, 1))</f>
        <v>1.4224664224664225</v>
      </c>
    </row>
    <row r="89" spans="1:14">
      <c r="A89" t="s">
        <v>102</v>
      </c>
      <c r="B89" t="s">
        <v>24</v>
      </c>
      <c r="C89">
        <v>3</v>
      </c>
      <c r="D89">
        <v>2</v>
      </c>
      <c r="E89" t="s">
        <v>44</v>
      </c>
      <c r="F89" t="s">
        <v>25</v>
      </c>
      <c r="G89">
        <f>VLOOKUP(B89,Resultados_Apertura!$B$2:$H$154,6,FALSE)</f>
        <v>3259</v>
      </c>
      <c r="H89">
        <f>VLOOKUP(E89,Resultados_Apertura!$E$2:$H$154,4,FALSE)</f>
        <v>2750</v>
      </c>
      <c r="I89" s="10">
        <f>(SUMIF(Resultados_Apertura!$B$2:$B$154, B88, Resultados_Apertura!$C$2:$C$154) + SUMIF($B$2:$B87, B88, $C$2:$C87)) / (COUNTIF(Resultados_Apertura!$B$2:$B$154, B88) + COUNTIF($B$2:$B87, B88))</f>
        <v>2.0769230769230771</v>
      </c>
      <c r="J89" s="10">
        <f>(SUMIF(Resultados_Apertura!$B$2:$B$154, B88, Resultados_Apertura!$D$2:$D$154) + SUMIF($B$2:$B87, B88, $D$2:$D87)) / (COUNTIF(Resultados_Apertura!$B$2:$B$154, B88) + COUNTIF($B$2:$B87, B88))</f>
        <v>1.0769230769230769</v>
      </c>
      <c r="K89" s="10">
        <f>(SUMIF(Resultados_Apertura!$E$2:$E$154, E88, Resultados_Apertura!$D$2:$D$154) + SUMIF($E$2:$E87, E88, $D$2:$D87)) / (COUNTIF(Resultados_Apertura!$E$2:$E$154, E88) + COUNTIF($E$2:$E87, E88))</f>
        <v>0.75</v>
      </c>
      <c r="L89" s="10">
        <f>(SUMIF(Resultados_Apertura!$E$2:$E$154, E88, Resultados_Apertura!$C$2:$C$154) + SUMIF($E$2:$E87, E88, $C$2:$C87)) / (COUNTIF(Resultados_Apertura!$E$2:$E$154, E88) + COUNTIF($E$2:$E87, E88))</f>
        <v>1.5</v>
      </c>
      <c r="M89" s="9">
        <f>((I89 * L89) / Formulas!$D$2) * IF(H89&gt;=2000, 1.2, IF(H89&gt;=1000, 1.1, 1))</f>
        <v>2.222095761381476</v>
      </c>
      <c r="N89" s="9">
        <f>((K89 * J89) / Formulas!$D$6) * IF(H89&gt;=2000, 0.75, IF(H89&gt;=1000, 0.85, 1))</f>
        <v>0.56009615384615374</v>
      </c>
    </row>
    <row r="90" spans="1:14">
      <c r="A90" t="s">
        <v>102</v>
      </c>
      <c r="B90" t="s">
        <v>32</v>
      </c>
      <c r="C90">
        <v>4</v>
      </c>
      <c r="D90">
        <v>0</v>
      </c>
      <c r="E90" t="s">
        <v>27</v>
      </c>
      <c r="F90" t="s">
        <v>33</v>
      </c>
      <c r="G90">
        <f>VLOOKUP(B90,Resultados_Apertura!$B$2:$H$154,6,FALSE)</f>
        <v>209</v>
      </c>
      <c r="H90">
        <f>VLOOKUP(E90,Resultados_Apertura!$E$2:$H$154,4,FALSE)</f>
        <v>1410</v>
      </c>
      <c r="I90" s="10">
        <f>(SUMIF(Resultados_Apertura!$B$2:$B$154, B89, Resultados_Apertura!$C$2:$C$154) + SUMIF($B$2:$B88, B89, $C$2:$C88)) / (COUNTIF(Resultados_Apertura!$B$2:$B$154, B89) + COUNTIF($B$2:$B88, B89))</f>
        <v>1.4166666666666667</v>
      </c>
      <c r="J90" s="10">
        <f>(SUMIF(Resultados_Apertura!$B$2:$B$154, B89, Resultados_Apertura!$D$2:$D$154) + SUMIF($B$2:$B88, B89, $D$2:$D88)) / (COUNTIF(Resultados_Apertura!$B$2:$B$154, B89) + COUNTIF($B$2:$B88, B89))</f>
        <v>1.0833333333333333</v>
      </c>
      <c r="K90" s="10">
        <f>(SUMIF(Resultados_Apertura!$E$2:$E$154, E89, Resultados_Apertura!$D$2:$D$154) + SUMIF($E$2:$E88, E89, $D$2:$D88)) / (COUNTIF(Resultados_Apertura!$E$2:$E$154, E89) + COUNTIF($E$2:$E88, E89))</f>
        <v>1.2307692307692308</v>
      </c>
      <c r="L90" s="10">
        <f>(SUMIF(Resultados_Apertura!$E$2:$E$154, E89, Resultados_Apertura!$C$2:$C$154) + SUMIF($E$2:$E88, E89, $C$2:$C88)) / (COUNTIF(Resultados_Apertura!$E$2:$E$154, E89) + COUNTIF($E$2:$E88, E89))</f>
        <v>2.2307692307692308</v>
      </c>
      <c r="M90" s="9">
        <f>((I90 * L90) / Formulas!$D$2) * IF(H90&gt;=2000, 1.2, IF(H90&gt;=1000, 1.1, 1))</f>
        <v>2.0662594845630564</v>
      </c>
      <c r="N90" s="9">
        <f>((K90 * J90) / Formulas!$D$6) * IF(H90&gt;=2000, 0.75, IF(H90&gt;=1000, 0.85, 1))</f>
        <v>1.0478835978835976</v>
      </c>
    </row>
    <row r="91" spans="1:14">
      <c r="A91" t="s">
        <v>193</v>
      </c>
      <c r="B91" t="s">
        <v>27</v>
      </c>
      <c r="C91">
        <v>0</v>
      </c>
      <c r="D91">
        <v>2</v>
      </c>
      <c r="E91" t="s">
        <v>17</v>
      </c>
      <c r="F91" t="s">
        <v>28</v>
      </c>
      <c r="G91">
        <f>VLOOKUP(B91,Resultados_Apertura!$B$2:$H$154,6,FALSE)</f>
        <v>1410</v>
      </c>
      <c r="H91">
        <f>VLOOKUP(E91,Resultados_Apertura!$E$2:$H$154,4,FALSE)</f>
        <v>3399</v>
      </c>
      <c r="I91" s="10">
        <f>(SUMIF(Resultados_Apertura!$B$2:$B$154, B90, Resultados_Apertura!$C$2:$C$154) + SUMIF($B$2:$B89, B90, $C$2:$C89)) / (COUNTIF(Resultados_Apertura!$B$2:$B$154, B90) + COUNTIF($B$2:$B89, B90))</f>
        <v>1.6153846153846154</v>
      </c>
      <c r="J91" s="10">
        <f>(SUMIF(Resultados_Apertura!$B$2:$B$154, B90, Resultados_Apertura!$D$2:$D$154) + SUMIF($B$2:$B89, B90, $D$2:$D89)) / (COUNTIF(Resultados_Apertura!$B$2:$B$154, B90) + COUNTIF($B$2:$B89, B90))</f>
        <v>1.6153846153846154</v>
      </c>
      <c r="K91" s="10">
        <f>(SUMIF(Resultados_Apertura!$E$2:$E$154, E90, Resultados_Apertura!$D$2:$D$154) + SUMIF($E$2:$E89, E90, $D$2:$D89)) / (COUNTIF(Resultados_Apertura!$E$2:$E$154, E90) + COUNTIF($E$2:$E89, E90))</f>
        <v>0.46153846153846156</v>
      </c>
      <c r="L91" s="10">
        <f>(SUMIF(Resultados_Apertura!$E$2:$E$154, E90, Resultados_Apertura!$C$2:$C$154) + SUMIF($E$2:$E89, E90, $C$2:$C89)) / (COUNTIF(Resultados_Apertura!$E$2:$E$154, E90) + COUNTIF($E$2:$E89, E90))</f>
        <v>1.4615384615384615</v>
      </c>
      <c r="M91" s="9">
        <f>((I91 * L91) / Formulas!$D$2) * IF(H91&gt;=2000, 1.2, IF(H91&gt;=1000, 1.1, 1))</f>
        <v>1.683981403212172</v>
      </c>
      <c r="N91" s="9">
        <f>((K91 * J91) / Formulas!$D$6) * IF(H91&gt;=2000, 0.75, IF(H91&gt;=1000, 0.85, 1))</f>
        <v>0.51701183431952658</v>
      </c>
    </row>
    <row r="92" spans="1:14">
      <c r="A92" t="s">
        <v>193</v>
      </c>
      <c r="B92" t="s">
        <v>15</v>
      </c>
      <c r="C92">
        <v>0</v>
      </c>
      <c r="D92">
        <v>0</v>
      </c>
      <c r="E92" t="s">
        <v>35</v>
      </c>
      <c r="F92" t="s">
        <v>10</v>
      </c>
      <c r="G92">
        <f>VLOOKUP(B92,Resultados_Apertura!$B$2:$H$154,6,FALSE)</f>
        <v>29</v>
      </c>
      <c r="H92">
        <f>VLOOKUP(E92,Resultados_Apertura!$E$2:$H$154,4,FALSE)</f>
        <v>2926</v>
      </c>
      <c r="I92" s="10">
        <f>(SUMIF(Resultados_Apertura!$B$2:$B$154, B91, Resultados_Apertura!$C$2:$C$154) + SUMIF($B$2:$B90, B91, $C$2:$C90)) / (COUNTIF(Resultados_Apertura!$B$2:$B$154, B91) + COUNTIF($B$2:$B90, B91))</f>
        <v>1.3846153846153846</v>
      </c>
      <c r="J92" s="10">
        <f>(SUMIF(Resultados_Apertura!$B$2:$B$154, B91, Resultados_Apertura!$D$2:$D$154) + SUMIF($B$2:$B90, B91, $D$2:$D90)) / (COUNTIF(Resultados_Apertura!$B$2:$B$154, B91) + COUNTIF($B$2:$B90, B91))</f>
        <v>1.3846153846153846</v>
      </c>
      <c r="K92" s="10">
        <f>(SUMIF(Resultados_Apertura!$E$2:$E$154, E91, Resultados_Apertura!$D$2:$D$154) + SUMIF($E$2:$E90, E91, $D$2:$D90)) / (COUNTIF(Resultados_Apertura!$E$2:$E$154, E91) + COUNTIF($E$2:$E90, E91))</f>
        <v>1.4615384615384615</v>
      </c>
      <c r="L92" s="10">
        <f>(SUMIF(Resultados_Apertura!$E$2:$E$154, E91, Resultados_Apertura!$C$2:$C$154) + SUMIF($E$2:$E90, E91, $C$2:$C90)) / (COUNTIF(Resultados_Apertura!$E$2:$E$154, E91) + COUNTIF($E$2:$E90, E91))</f>
        <v>1.9230769230769231</v>
      </c>
      <c r="M92" s="9">
        <f>((I92 * L92) / Formulas!$D$2) * IF(H92&gt;=2000, 1.2, IF(H92&gt;=1000, 1.1, 1))</f>
        <v>1.8992271464798935</v>
      </c>
      <c r="N92" s="9">
        <f>((K92 * J92) / Formulas!$D$6) * IF(H92&gt;=2000, 0.75, IF(H92&gt;=1000, 0.85, 1))</f>
        <v>1.4033178360101433</v>
      </c>
    </row>
    <row r="93" spans="1:14">
      <c r="A93" t="s">
        <v>193</v>
      </c>
      <c r="B93" t="s">
        <v>26</v>
      </c>
      <c r="C93">
        <v>0</v>
      </c>
      <c r="D93">
        <v>1</v>
      </c>
      <c r="E93" t="s">
        <v>24</v>
      </c>
      <c r="F93" t="s">
        <v>18</v>
      </c>
      <c r="G93">
        <f>VLOOKUP(B93,Resultados_Apertura!$B$2:$H$154,6,FALSE)</f>
        <v>3399</v>
      </c>
      <c r="H93">
        <f>VLOOKUP(E93,Resultados_Apertura!$E$2:$H$154,4,FALSE)</f>
        <v>3259</v>
      </c>
      <c r="I93" s="10">
        <f>(SUMIF(Resultados_Apertura!$B$2:$B$154, B92, Resultados_Apertura!$C$2:$C$154) + SUMIF($B$2:$B91, B92, $C$2:$C91)) / (COUNTIF(Resultados_Apertura!$B$2:$B$154, B92) + COUNTIF($B$2:$B91, B92))</f>
        <v>1.2307692307692308</v>
      </c>
      <c r="J93" s="10">
        <f>(SUMIF(Resultados_Apertura!$B$2:$B$154, B92, Resultados_Apertura!$D$2:$D$154) + SUMIF($B$2:$B91, B92, $D$2:$D91)) / (COUNTIF(Resultados_Apertura!$B$2:$B$154, B92) + COUNTIF($B$2:$B91, B92))</f>
        <v>0.69230769230769229</v>
      </c>
      <c r="K93" s="10">
        <f>(SUMIF(Resultados_Apertura!$E$2:$E$154, E92, Resultados_Apertura!$D$2:$D$154) + SUMIF($E$2:$E91, E92, $D$2:$D91)) / (COUNTIF(Resultados_Apertura!$E$2:$E$154, E92) + COUNTIF($E$2:$E91, E92))</f>
        <v>0.91666666666666663</v>
      </c>
      <c r="L93" s="10">
        <f>(SUMIF(Resultados_Apertura!$E$2:$E$154, E92, Resultados_Apertura!$C$2:$C$154) + SUMIF($E$2:$E91, E92, $C$2:$C91)) / (COUNTIF(Resultados_Apertura!$E$2:$E$154, E92) + COUNTIF($E$2:$E91, E92))</f>
        <v>2.0833333333333335</v>
      </c>
      <c r="M93" s="9">
        <f>((I93 * L93) / Formulas!$D$2) * IF(H93&gt;=2000, 1.2, IF(H93&gt;=1000, 1.1, 1))</f>
        <v>1.8288854003139716</v>
      </c>
      <c r="N93" s="9">
        <f>((K93 * J93) / Formulas!$D$6) * IF(H93&gt;=2000, 0.75, IF(H93&gt;=1000, 0.85, 1))</f>
        <v>0.44007554945054939</v>
      </c>
    </row>
    <row r="94" spans="1:14">
      <c r="A94" t="s">
        <v>193</v>
      </c>
      <c r="B94" t="s">
        <v>5</v>
      </c>
      <c r="C94">
        <v>0</v>
      </c>
      <c r="D94">
        <v>0</v>
      </c>
      <c r="E94" t="s">
        <v>30</v>
      </c>
      <c r="F94" t="s">
        <v>6</v>
      </c>
      <c r="G94">
        <f>VLOOKUP(B94,Resultados_Apertura!$B$2:$H$154,6,FALSE)</f>
        <v>3050</v>
      </c>
      <c r="H94">
        <f>VLOOKUP(E94,Resultados_Apertura!$E$2:$H$154,4,FALSE)</f>
        <v>2750</v>
      </c>
      <c r="I94" s="10">
        <f>(SUMIF(Resultados_Apertura!$B$2:$B$154, B93, Resultados_Apertura!$C$2:$C$154) + SUMIF($B$2:$B92, B93, $C$2:$C92)) / (COUNTIF(Resultados_Apertura!$B$2:$B$154, B93) + COUNTIF($B$2:$B92, B93))</f>
        <v>2.3571428571428572</v>
      </c>
      <c r="J94" s="10">
        <f>(SUMIF(Resultados_Apertura!$B$2:$B$154, B93, Resultados_Apertura!$D$2:$D$154) + SUMIF($B$2:$B92, B93, $D$2:$D92)) / (COUNTIF(Resultados_Apertura!$B$2:$B$154, B93) + COUNTIF($B$2:$B92, B93))</f>
        <v>0.9285714285714286</v>
      </c>
      <c r="K94" s="10">
        <f>(SUMIF(Resultados_Apertura!$E$2:$E$154, E93, Resultados_Apertura!$D$2:$D$154) + SUMIF($E$2:$E92, E93, $D$2:$D92)) / (COUNTIF(Resultados_Apertura!$E$2:$E$154, E93) + COUNTIF($E$2:$E92, E93))</f>
        <v>1.2142857142857142</v>
      </c>
      <c r="L94" s="10">
        <f>(SUMIF(Resultados_Apertura!$E$2:$E$154, E93, Resultados_Apertura!$C$2:$C$154) + SUMIF($E$2:$E92, E93, $C$2:$C92)) / (COUNTIF(Resultados_Apertura!$E$2:$E$154, E93) + COUNTIF($E$2:$E92, E93))</f>
        <v>2.0714285714285716</v>
      </c>
      <c r="M94" s="9">
        <f>((I94 * L94) / Formulas!$D$2) * IF(H94&gt;=2000, 1.2, IF(H94&gt;=1000, 1.1, 1))</f>
        <v>3.4826270304039988</v>
      </c>
      <c r="N94" s="9">
        <f>((K94 * J94) / Formulas!$D$6) * IF(H94&gt;=2000, 0.75, IF(H94&gt;=1000, 0.85, 1))</f>
        <v>0.78190293974732739</v>
      </c>
    </row>
    <row r="95" spans="1:14">
      <c r="A95" t="s">
        <v>193</v>
      </c>
      <c r="B95" t="s">
        <v>19</v>
      </c>
      <c r="C95">
        <v>1</v>
      </c>
      <c r="D95">
        <v>1</v>
      </c>
      <c r="E95" t="s">
        <v>32</v>
      </c>
      <c r="F95" t="s">
        <v>20</v>
      </c>
      <c r="G95">
        <f>VLOOKUP(B95,Resultados_Apertura!$B$2:$H$154,6,FALSE)</f>
        <v>2637</v>
      </c>
      <c r="H95">
        <f>VLOOKUP(E95,Resultados_Apertura!$E$2:$H$154,4,FALSE)</f>
        <v>209</v>
      </c>
      <c r="I95" s="10">
        <f>(SUMIF(Resultados_Apertura!$B$2:$B$154, B94, Resultados_Apertura!$C$2:$C$154) + SUMIF($B$2:$B93, B94, $C$2:$C93)) / (COUNTIF(Resultados_Apertura!$B$2:$B$154, B94) + COUNTIF($B$2:$B93, B94))</f>
        <v>1.3571428571428572</v>
      </c>
      <c r="J95" s="10">
        <f>(SUMIF(Resultados_Apertura!$B$2:$B$154, B94, Resultados_Apertura!$D$2:$D$154) + SUMIF($B$2:$B93, B94, $D$2:$D93)) / (COUNTIF(Resultados_Apertura!$B$2:$B$154, B94) + COUNTIF($B$2:$B93, B94))</f>
        <v>1.2142857142857142</v>
      </c>
      <c r="K95" s="10">
        <f>(SUMIF(Resultados_Apertura!$E$2:$E$154, E94, Resultados_Apertura!$D$2:$D$154) + SUMIF($E$2:$E93, E94, $D$2:$D93)) / (COUNTIF(Resultados_Apertura!$E$2:$E$154, E94) + COUNTIF($E$2:$E93, E94))</f>
        <v>1.3076923076923077</v>
      </c>
      <c r="L95" s="10">
        <f>(SUMIF(Resultados_Apertura!$E$2:$E$154, E94, Resultados_Apertura!$C$2:$C$154) + SUMIF($E$2:$E93, E94, $C$2:$C93)) / (COUNTIF(Resultados_Apertura!$E$2:$E$154, E94) + COUNTIF($E$2:$E93, E94))</f>
        <v>1.6923076923076923</v>
      </c>
      <c r="M95" s="9">
        <f>((I95 * L95) / Formulas!$D$2) * IF(H95&gt;=2000, 1.2, IF(H95&gt;=1000, 1.1, 1))</f>
        <v>1.365132316662929</v>
      </c>
      <c r="N95" s="9">
        <f>((K95 * J95) / Formulas!$D$6) * IF(H95&gt;=2000, 0.75, IF(H95&gt;=1000, 0.85, 1))</f>
        <v>1.4681885574742715</v>
      </c>
    </row>
    <row r="96" spans="1:14">
      <c r="A96" t="s">
        <v>193</v>
      </c>
      <c r="B96" t="s">
        <v>43</v>
      </c>
      <c r="C96">
        <v>2</v>
      </c>
      <c r="D96">
        <v>2</v>
      </c>
      <c r="E96" t="s">
        <v>37</v>
      </c>
      <c r="F96" t="s">
        <v>13</v>
      </c>
      <c r="G96">
        <f>VLOOKUP(B96,Resultados_Apertura!$B$2:$H$154,6,FALSE)</f>
        <v>150</v>
      </c>
      <c r="H96">
        <f>VLOOKUP(E96,Resultados_Apertura!$E$2:$H$154,4,FALSE)</f>
        <v>2335</v>
      </c>
      <c r="I96" s="10">
        <f>(SUMIF(Resultados_Apertura!$B$2:$B$154, B95, Resultados_Apertura!$C$2:$C$154) + SUMIF($B$2:$B94, B95, $C$2:$C94)) / (COUNTIF(Resultados_Apertura!$B$2:$B$154, B95) + COUNTIF($B$2:$B94, B95))</f>
        <v>1.2307692307692308</v>
      </c>
      <c r="J96" s="10">
        <f>(SUMIF(Resultados_Apertura!$B$2:$B$154, B95, Resultados_Apertura!$D$2:$D$154) + SUMIF($B$2:$B94, B95, $D$2:$D94)) / (COUNTIF(Resultados_Apertura!$B$2:$B$154, B95) + COUNTIF($B$2:$B94, B95))</f>
        <v>0.92307692307692313</v>
      </c>
      <c r="K96" s="10">
        <f>(SUMIF(Resultados_Apertura!$E$2:$E$154, E95, Resultados_Apertura!$D$2:$D$154) + SUMIF($E$2:$E94, E95, $D$2:$D94)) / (COUNTIF(Resultados_Apertura!$E$2:$E$154, E95) + COUNTIF($E$2:$E94, E95))</f>
        <v>1.3076923076923077</v>
      </c>
      <c r="L96" s="10">
        <f>(SUMIF(Resultados_Apertura!$E$2:$E$154, E95, Resultados_Apertura!$C$2:$C$154) + SUMIF($E$2:$E94, E95, $C$2:$C94)) / (COUNTIF(Resultados_Apertura!$E$2:$E$154, E95) + COUNTIF($E$2:$E94, E95))</f>
        <v>2.3846153846153846</v>
      </c>
      <c r="M96" s="9">
        <f>((I96 * L96) / Formulas!$D$2) * IF(H96&gt;=2000, 1.2, IF(H96&gt;=1000, 1.1, 1))</f>
        <v>2.0933703658978384</v>
      </c>
      <c r="N96" s="9">
        <f>((K96 * J96) / Formulas!$D$6) * IF(H96&gt;=2000, 0.75, IF(H96&gt;=1000, 0.85, 1))</f>
        <v>0.83706677937447171</v>
      </c>
    </row>
    <row r="97" spans="1:14">
      <c r="A97" t="s">
        <v>193</v>
      </c>
      <c r="B97" t="s">
        <v>44</v>
      </c>
      <c r="C97">
        <v>0</v>
      </c>
      <c r="D97">
        <v>1</v>
      </c>
      <c r="E97" t="s">
        <v>42</v>
      </c>
      <c r="F97" t="s">
        <v>31</v>
      </c>
      <c r="G97">
        <f>VLOOKUP(B97,Resultados_Apertura!$B$2:$H$154,6,FALSE)</f>
        <v>2750</v>
      </c>
      <c r="H97">
        <f>VLOOKUP(E97,Resultados_Apertura!$E$2:$H$154,4,FALSE)</f>
        <v>150</v>
      </c>
      <c r="I97" s="10">
        <f>(SUMIF(Resultados_Apertura!$B$2:$B$154, B96, Resultados_Apertura!$C$2:$C$154) + SUMIF($B$2:$B95, B96, $C$2:$C95)) / (COUNTIF(Resultados_Apertura!$B$2:$B$154, B96) + COUNTIF($B$2:$B95, B96))</f>
        <v>1.7692307692307692</v>
      </c>
      <c r="J97" s="10">
        <f>(SUMIF(Resultados_Apertura!$B$2:$B$154, B96, Resultados_Apertura!$D$2:$D$154) + SUMIF($B$2:$B95, B96, $D$2:$D95)) / (COUNTIF(Resultados_Apertura!$B$2:$B$154, B96) + COUNTIF($B$2:$B95, B96))</f>
        <v>0.76923076923076927</v>
      </c>
      <c r="K97" s="10">
        <f>(SUMIF(Resultados_Apertura!$E$2:$E$154, E96, Resultados_Apertura!$D$2:$D$154) + SUMIF($E$2:$E95, E96, $D$2:$D95)) / (COUNTIF(Resultados_Apertura!$E$2:$E$154, E96) + COUNTIF($E$2:$E95, E96))</f>
        <v>1.3076923076923077</v>
      </c>
      <c r="L97" s="10">
        <f>(SUMIF(Resultados_Apertura!$E$2:$E$154, E96, Resultados_Apertura!$C$2:$C$154) + SUMIF($E$2:$E95, E96, $C$2:$C95)) / (COUNTIF(Resultados_Apertura!$E$2:$E$154, E96) + COUNTIF($E$2:$E95, E96))</f>
        <v>1.0769230769230769</v>
      </c>
      <c r="M97" s="9">
        <f>((I97 * L97) / Formulas!$D$2) * IF(H97&gt;=2000, 1.2, IF(H97&gt;=1000, 1.1, 1))</f>
        <v>1.132502113271344</v>
      </c>
      <c r="N97" s="9">
        <f>((K97 * J97) / Formulas!$D$6) * IF(H97&gt;=2000, 0.75, IF(H97&gt;=1000, 0.85, 1))</f>
        <v>0.93007419930496849</v>
      </c>
    </row>
    <row r="98" spans="1:14">
      <c r="A98" t="s">
        <v>193</v>
      </c>
      <c r="B98" t="s">
        <v>39</v>
      </c>
      <c r="C98">
        <v>1</v>
      </c>
      <c r="D98">
        <v>3</v>
      </c>
      <c r="E98" t="s">
        <v>9</v>
      </c>
      <c r="F98" t="s">
        <v>40</v>
      </c>
      <c r="G98">
        <f>VLOOKUP(B98,Resultados_Apertura!$B$2:$H$154,6,FALSE)</f>
        <v>5</v>
      </c>
      <c r="H98">
        <f>VLOOKUP(E98,Resultados_Apertura!$E$2:$H$154,4,FALSE)</f>
        <v>60</v>
      </c>
      <c r="I98" s="10">
        <f>(SUMIF(Resultados_Apertura!$B$2:$B$154, B97, Resultados_Apertura!$C$2:$C$154) + SUMIF($B$2:$B96, B97, $C$2:$C96)) / (COUNTIF(Resultados_Apertura!$B$2:$B$154, B97) + COUNTIF($B$2:$B96, B97))</f>
        <v>1.0769230769230769</v>
      </c>
      <c r="J98" s="10">
        <f>(SUMIF(Resultados_Apertura!$B$2:$B$154, B97, Resultados_Apertura!$D$2:$D$154) + SUMIF($B$2:$B96, B97, $D$2:$D96)) / (COUNTIF(Resultados_Apertura!$B$2:$B$154, B97) + COUNTIF($B$2:$B96, B97))</f>
        <v>1.3846153846153846</v>
      </c>
      <c r="K98" s="10">
        <f>(SUMIF(Resultados_Apertura!$E$2:$E$154, E97, Resultados_Apertura!$D$2:$D$154) + SUMIF($E$2:$E96, E97, $D$2:$D96)) / (COUNTIF(Resultados_Apertura!$E$2:$E$154, E97) + COUNTIF($E$2:$E96, E97))</f>
        <v>1.1428571428571428</v>
      </c>
      <c r="L98" s="10">
        <f>(SUMIF(Resultados_Apertura!$E$2:$E$154, E97, Resultados_Apertura!$C$2:$C$154) + SUMIF($E$2:$E96, E97, $C$2:$C96)) / (COUNTIF(Resultados_Apertura!$E$2:$E$154, E97) + COUNTIF($E$2:$E96, E97))</f>
        <v>1.8571428571428572</v>
      </c>
      <c r="M98" s="9">
        <f>((I98 * L98) / Formulas!$D$2) * IF(H98&gt;=2000, 1.2, IF(H98&gt;=1000, 1.1, 1))</f>
        <v>1.1887755102040816</v>
      </c>
      <c r="N98" s="9">
        <f>((K98 * J98) / Formulas!$D$6) * IF(H98&gt;=2000, 0.75, IF(H98&gt;=1000, 0.85, 1))</f>
        <v>1.4631083202511772</v>
      </c>
    </row>
    <row r="99" spans="1:14">
      <c r="A99" t="s">
        <v>193</v>
      </c>
      <c r="B99" t="s">
        <v>23</v>
      </c>
      <c r="C99">
        <v>1</v>
      </c>
      <c r="D99">
        <v>2</v>
      </c>
      <c r="E99" t="s">
        <v>12</v>
      </c>
      <c r="F99" t="s">
        <v>18</v>
      </c>
      <c r="G99">
        <f>VLOOKUP(B99,Resultados_Apertura!$B$2:$H$154,6,FALSE)</f>
        <v>3399</v>
      </c>
      <c r="H99">
        <f>VLOOKUP(E99,Resultados_Apertura!$E$2:$H$154,4,FALSE)</f>
        <v>150</v>
      </c>
      <c r="I99" s="10">
        <f>(SUMIF(Resultados_Apertura!$B$2:$B$154, B98, Resultados_Apertura!$C$2:$C$154) + SUMIF($B$2:$B97, B98, $C$2:$C97)) / (COUNTIF(Resultados_Apertura!$B$2:$B$154, B98) + COUNTIF($B$2:$B97, B98))</f>
        <v>1.3571428571428572</v>
      </c>
      <c r="J99" s="10">
        <f>(SUMIF(Resultados_Apertura!$B$2:$B$154, B98, Resultados_Apertura!$D$2:$D$154) + SUMIF($B$2:$B97, B98, $D$2:$D97)) / (COUNTIF(Resultados_Apertura!$B$2:$B$154, B98) + COUNTIF($B$2:$B97, B98))</f>
        <v>0.5</v>
      </c>
      <c r="K99" s="10">
        <f>(SUMIF(Resultados_Apertura!$E$2:$E$154, E98, Resultados_Apertura!$D$2:$D$154) + SUMIF($E$2:$E97, E98, $D$2:$D97)) / (COUNTIF(Resultados_Apertura!$E$2:$E$154, E98) + COUNTIF($E$2:$E97, E98))</f>
        <v>1.2142857142857142</v>
      </c>
      <c r="L99" s="10">
        <f>(SUMIF(Resultados_Apertura!$E$2:$E$154, E98, Resultados_Apertura!$C$2:$C$154) + SUMIF($E$2:$E97, E98, $C$2:$C97)) / (COUNTIF(Resultados_Apertura!$E$2:$E$154, E98) + COUNTIF($E$2:$E97, E98))</f>
        <v>1.7857142857142858</v>
      </c>
      <c r="M99" s="9">
        <f>((I99 * L99) / Formulas!$D$2) * IF(H99&gt;=2000, 1.2, IF(H99&gt;=1000, 1.1, 1))</f>
        <v>1.4404805289462723</v>
      </c>
      <c r="N99" s="9">
        <f>((K99 * J99) / Formulas!$D$6) * IF(H99&gt;=2000, 0.75, IF(H99&gt;=1000, 0.85, 1))</f>
        <v>0.56136621315192736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4072-72C9-4916-83AC-D0A12C5A340A}">
  <dimension ref="B2:D12"/>
  <sheetViews>
    <sheetView showGridLines="0" workbookViewId="0">
      <selection activeCell="D11" sqref="D11:D12"/>
    </sheetView>
  </sheetViews>
  <sheetFormatPr baseColWidth="10" defaultColWidth="11.5703125" defaultRowHeight="15"/>
  <cols>
    <col min="1" max="2" width="11.5703125" style="6"/>
    <col min="3" max="3" width="45.7109375" style="6" bestFit="1" customWidth="1"/>
    <col min="4" max="16384" width="11.5703125" style="6"/>
  </cols>
  <sheetData>
    <row r="2" spans="2:4" ht="18" customHeight="1">
      <c r="B2" s="12" t="s">
        <v>194</v>
      </c>
      <c r="C2" s="8" t="s">
        <v>195</v>
      </c>
      <c r="D2" s="13">
        <f>AVERAGE(Resultados_Apertura!C2:C154,Resultados_Clausura!C2:C81)</f>
        <v>1.6824034334763949</v>
      </c>
    </row>
    <row r="3" spans="2:4">
      <c r="B3" s="12"/>
      <c r="C3" s="7" t="s">
        <v>196</v>
      </c>
      <c r="D3" s="13"/>
    </row>
    <row r="4" spans="2:4">
      <c r="D4" s="11"/>
    </row>
    <row r="5" spans="2:4">
      <c r="D5" s="11"/>
    </row>
    <row r="6" spans="2:4">
      <c r="B6" s="12" t="s">
        <v>197</v>
      </c>
      <c r="C6" s="8" t="s">
        <v>198</v>
      </c>
      <c r="D6" s="13">
        <f>AVERAGE(Resultados_Apertura!D2:D154,Resultados_Clausura!D2:D81)</f>
        <v>1.0815450643776825</v>
      </c>
    </row>
    <row r="7" spans="2:4">
      <c r="B7" s="12"/>
      <c r="C7" s="7" t="s">
        <v>196</v>
      </c>
      <c r="D7" s="13"/>
    </row>
    <row r="8" spans="2:4">
      <c r="D8" s="11"/>
    </row>
    <row r="9" spans="2:4">
      <c r="D9" s="11"/>
    </row>
    <row r="10" spans="2:4">
      <c r="D10" s="11"/>
    </row>
    <row r="11" spans="2:4">
      <c r="B11" s="12" t="s">
        <v>203</v>
      </c>
      <c r="C11" s="8" t="s">
        <v>204</v>
      </c>
      <c r="D11" s="13">
        <f>SUM(Resultados_Apertura!C2:D154,Resultados_Clausura!C2:D81)/COUNT(Resultados_Apertura!C2:C154,Resultados_Clausura!C2:C81)</f>
        <v>2.7639484978540771</v>
      </c>
    </row>
    <row r="12" spans="2:4">
      <c r="B12" s="12"/>
      <c r="C12" s="7" t="s">
        <v>205</v>
      </c>
      <c r="D12" s="13"/>
    </row>
  </sheetData>
  <mergeCells count="6">
    <mergeCell ref="B2:B3"/>
    <mergeCell ref="D2:D3"/>
    <mergeCell ref="B6:B7"/>
    <mergeCell ref="D6:D7"/>
    <mergeCell ref="B11:B12"/>
    <mergeCell ref="D11:D1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F9D3-22DF-46CE-99BF-100B11587352}">
  <dimension ref="A1:J19"/>
  <sheetViews>
    <sheetView workbookViewId="0">
      <selection activeCell="J7" sqref="J7:J9"/>
    </sheetView>
  </sheetViews>
  <sheetFormatPr baseColWidth="10" defaultRowHeight="15"/>
  <cols>
    <col min="1" max="1" width="4.140625" bestFit="1" customWidth="1"/>
    <col min="2" max="2" width="19.85546875" bestFit="1" customWidth="1"/>
    <col min="3" max="10" width="5.42578125" customWidth="1"/>
  </cols>
  <sheetData>
    <row r="1" spans="1:10" s="1" customFormat="1">
      <c r="A1" s="1" t="s">
        <v>78</v>
      </c>
      <c r="B1" s="1" t="s">
        <v>0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>
      <c r="A2">
        <v>1</v>
      </c>
      <c r="B2" t="s">
        <v>42</v>
      </c>
      <c r="C2">
        <v>11</v>
      </c>
      <c r="D2">
        <v>7</v>
      </c>
      <c r="E2">
        <v>1</v>
      </c>
      <c r="F2">
        <v>3</v>
      </c>
      <c r="G2">
        <v>19</v>
      </c>
      <c r="H2">
        <v>12</v>
      </c>
      <c r="I2">
        <f t="shared" ref="I2:I9" si="0">G2-H2</f>
        <v>7</v>
      </c>
      <c r="J2">
        <f>D2*3+E2*1</f>
        <v>22</v>
      </c>
    </row>
    <row r="3" spans="1:10">
      <c r="A3">
        <v>2</v>
      </c>
      <c r="B3" t="s">
        <v>26</v>
      </c>
      <c r="C3">
        <v>11</v>
      </c>
      <c r="D3">
        <v>7</v>
      </c>
      <c r="E3">
        <v>1</v>
      </c>
      <c r="F3">
        <v>3</v>
      </c>
      <c r="G3">
        <v>14</v>
      </c>
      <c r="H3">
        <v>6</v>
      </c>
      <c r="I3">
        <f t="shared" si="0"/>
        <v>8</v>
      </c>
      <c r="J3">
        <f t="shared" ref="J3:J19" si="1">D3*3+E3*1</f>
        <v>22</v>
      </c>
    </row>
    <row r="4" spans="1:10">
      <c r="A4">
        <v>3</v>
      </c>
      <c r="B4" t="s">
        <v>9</v>
      </c>
      <c r="C4">
        <v>11</v>
      </c>
      <c r="D4">
        <v>7</v>
      </c>
      <c r="E4">
        <v>1</v>
      </c>
      <c r="F4">
        <v>3</v>
      </c>
      <c r="G4">
        <v>15</v>
      </c>
      <c r="H4">
        <v>8</v>
      </c>
      <c r="I4">
        <f t="shared" si="0"/>
        <v>7</v>
      </c>
      <c r="J4">
        <f t="shared" si="1"/>
        <v>22</v>
      </c>
    </row>
    <row r="5" spans="1:10">
      <c r="A5">
        <v>4</v>
      </c>
      <c r="B5" t="s">
        <v>24</v>
      </c>
      <c r="C5">
        <v>11</v>
      </c>
      <c r="D5">
        <v>7</v>
      </c>
      <c r="E5">
        <v>1</v>
      </c>
      <c r="F5">
        <v>3</v>
      </c>
      <c r="G5">
        <v>13</v>
      </c>
      <c r="H5">
        <v>6</v>
      </c>
      <c r="I5">
        <f t="shared" si="0"/>
        <v>7</v>
      </c>
      <c r="J5">
        <f t="shared" si="1"/>
        <v>22</v>
      </c>
    </row>
    <row r="6" spans="1:10">
      <c r="A6">
        <v>5</v>
      </c>
      <c r="B6" t="s">
        <v>43</v>
      </c>
      <c r="C6">
        <v>11</v>
      </c>
      <c r="D6">
        <v>6</v>
      </c>
      <c r="E6">
        <v>3</v>
      </c>
      <c r="F6">
        <v>2</v>
      </c>
      <c r="G6">
        <v>17</v>
      </c>
      <c r="H6">
        <v>9</v>
      </c>
      <c r="I6">
        <f t="shared" si="0"/>
        <v>8</v>
      </c>
      <c r="J6">
        <f t="shared" si="1"/>
        <v>21</v>
      </c>
    </row>
    <row r="7" spans="1:10">
      <c r="A7">
        <v>6</v>
      </c>
      <c r="B7" t="s">
        <v>32</v>
      </c>
      <c r="C7">
        <v>11</v>
      </c>
      <c r="D7">
        <v>5</v>
      </c>
      <c r="E7">
        <v>4</v>
      </c>
      <c r="F7">
        <v>2</v>
      </c>
      <c r="G7">
        <v>13</v>
      </c>
      <c r="H7">
        <v>10</v>
      </c>
      <c r="I7">
        <f t="shared" si="0"/>
        <v>3</v>
      </c>
      <c r="J7">
        <f t="shared" si="1"/>
        <v>19</v>
      </c>
    </row>
    <row r="8" spans="1:10">
      <c r="A8">
        <v>7</v>
      </c>
      <c r="B8" t="s">
        <v>37</v>
      </c>
      <c r="C8">
        <v>11</v>
      </c>
      <c r="D8">
        <v>5</v>
      </c>
      <c r="E8">
        <v>4</v>
      </c>
      <c r="F8">
        <v>2</v>
      </c>
      <c r="G8">
        <v>18</v>
      </c>
      <c r="H8">
        <v>16</v>
      </c>
      <c r="I8">
        <f t="shared" si="0"/>
        <v>2</v>
      </c>
      <c r="J8">
        <f t="shared" si="1"/>
        <v>19</v>
      </c>
    </row>
    <row r="9" spans="1:10">
      <c r="A9">
        <v>8</v>
      </c>
      <c r="B9" t="s">
        <v>12</v>
      </c>
      <c r="C9">
        <v>11</v>
      </c>
      <c r="D9">
        <v>5</v>
      </c>
      <c r="E9">
        <v>4</v>
      </c>
      <c r="F9">
        <v>2</v>
      </c>
      <c r="G9">
        <v>18</v>
      </c>
      <c r="H9">
        <v>16</v>
      </c>
      <c r="I9">
        <f t="shared" si="0"/>
        <v>2</v>
      </c>
      <c r="J9">
        <f t="shared" si="1"/>
        <v>19</v>
      </c>
    </row>
    <row r="10" spans="1:10">
      <c r="A10">
        <v>9</v>
      </c>
      <c r="B10" t="s">
        <v>39</v>
      </c>
      <c r="C10">
        <v>11</v>
      </c>
      <c r="D10">
        <v>5</v>
      </c>
      <c r="E10">
        <v>3</v>
      </c>
      <c r="F10">
        <v>3</v>
      </c>
      <c r="G10">
        <v>17</v>
      </c>
      <c r="H10">
        <v>13</v>
      </c>
      <c r="I10">
        <f t="shared" ref="I10:I19" si="2">G10-H10</f>
        <v>4</v>
      </c>
      <c r="J10">
        <f t="shared" si="1"/>
        <v>18</v>
      </c>
    </row>
    <row r="11" spans="1:10">
      <c r="A11">
        <v>10</v>
      </c>
      <c r="B11" t="s">
        <v>23</v>
      </c>
      <c r="C11">
        <v>11</v>
      </c>
      <c r="D11">
        <v>6</v>
      </c>
      <c r="E11">
        <v>0</v>
      </c>
      <c r="F11">
        <v>5</v>
      </c>
      <c r="G11">
        <v>16</v>
      </c>
      <c r="H11">
        <v>12</v>
      </c>
      <c r="I11">
        <f>G11-H11</f>
        <v>4</v>
      </c>
      <c r="J11">
        <f>D11*3+E11*1</f>
        <v>18</v>
      </c>
    </row>
    <row r="12" spans="1:10">
      <c r="A12">
        <v>11</v>
      </c>
      <c r="B12" t="s">
        <v>15</v>
      </c>
      <c r="C12">
        <v>11</v>
      </c>
      <c r="D12">
        <v>5</v>
      </c>
      <c r="E12">
        <v>2</v>
      </c>
      <c r="F12">
        <v>4</v>
      </c>
      <c r="G12">
        <v>12</v>
      </c>
      <c r="H12">
        <v>10</v>
      </c>
      <c r="I12">
        <f t="shared" si="2"/>
        <v>2</v>
      </c>
      <c r="J12">
        <f t="shared" si="1"/>
        <v>17</v>
      </c>
    </row>
    <row r="13" spans="1:10">
      <c r="A13">
        <v>12</v>
      </c>
      <c r="B13" t="s">
        <v>17</v>
      </c>
      <c r="C13">
        <v>11</v>
      </c>
      <c r="D13">
        <v>3</v>
      </c>
      <c r="E13">
        <v>2</v>
      </c>
      <c r="F13">
        <v>6</v>
      </c>
      <c r="G13">
        <v>17</v>
      </c>
      <c r="H13">
        <v>22</v>
      </c>
      <c r="I13">
        <f>G13-H13</f>
        <v>-5</v>
      </c>
      <c r="J13">
        <f>D13*3+E13*1</f>
        <v>11</v>
      </c>
    </row>
    <row r="14" spans="1:10">
      <c r="A14">
        <v>13</v>
      </c>
      <c r="B14" t="s">
        <v>30</v>
      </c>
      <c r="C14">
        <v>11</v>
      </c>
      <c r="D14">
        <v>3</v>
      </c>
      <c r="E14">
        <v>2</v>
      </c>
      <c r="F14">
        <v>6</v>
      </c>
      <c r="G14">
        <v>16</v>
      </c>
      <c r="H14">
        <v>16</v>
      </c>
      <c r="I14">
        <f t="shared" si="2"/>
        <v>0</v>
      </c>
      <c r="J14">
        <f t="shared" si="1"/>
        <v>11</v>
      </c>
    </row>
    <row r="15" spans="1:10">
      <c r="A15">
        <v>14</v>
      </c>
      <c r="B15" t="s">
        <v>19</v>
      </c>
      <c r="C15">
        <v>11</v>
      </c>
      <c r="D15">
        <v>2</v>
      </c>
      <c r="E15">
        <v>5</v>
      </c>
      <c r="F15">
        <v>5</v>
      </c>
      <c r="G15">
        <v>10</v>
      </c>
      <c r="H15">
        <v>15</v>
      </c>
      <c r="I15">
        <f t="shared" si="2"/>
        <v>-5</v>
      </c>
      <c r="J15">
        <f t="shared" si="1"/>
        <v>11</v>
      </c>
    </row>
    <row r="16" spans="1:10">
      <c r="A16">
        <v>15</v>
      </c>
      <c r="B16" t="s">
        <v>35</v>
      </c>
      <c r="C16">
        <v>11</v>
      </c>
      <c r="D16">
        <v>2</v>
      </c>
      <c r="E16">
        <v>3</v>
      </c>
      <c r="F16">
        <v>6</v>
      </c>
      <c r="G16">
        <v>7</v>
      </c>
      <c r="H16">
        <v>13</v>
      </c>
      <c r="I16">
        <f t="shared" si="2"/>
        <v>-6</v>
      </c>
      <c r="J16">
        <f t="shared" si="1"/>
        <v>9</v>
      </c>
    </row>
    <row r="17" spans="1:10">
      <c r="A17">
        <v>16</v>
      </c>
      <c r="B17" t="s">
        <v>27</v>
      </c>
      <c r="C17">
        <v>11</v>
      </c>
      <c r="D17">
        <v>1</v>
      </c>
      <c r="E17">
        <v>4</v>
      </c>
      <c r="F17">
        <v>6</v>
      </c>
      <c r="G17">
        <v>10</v>
      </c>
      <c r="H17">
        <v>23</v>
      </c>
      <c r="I17">
        <f t="shared" si="2"/>
        <v>-13</v>
      </c>
      <c r="J17">
        <f t="shared" si="1"/>
        <v>7</v>
      </c>
    </row>
    <row r="18" spans="1:10">
      <c r="A18">
        <v>17</v>
      </c>
      <c r="B18" t="s">
        <v>5</v>
      </c>
      <c r="C18">
        <v>11</v>
      </c>
      <c r="D18">
        <v>1</v>
      </c>
      <c r="E18">
        <v>3</v>
      </c>
      <c r="F18">
        <v>7</v>
      </c>
      <c r="G18">
        <v>9</v>
      </c>
      <c r="H18">
        <v>21</v>
      </c>
      <c r="I18">
        <f>G18-H18</f>
        <v>-12</v>
      </c>
      <c r="J18">
        <f>D18*3+E18*1</f>
        <v>6</v>
      </c>
    </row>
    <row r="19" spans="1:10">
      <c r="A19">
        <v>18</v>
      </c>
      <c r="B19" t="s">
        <v>44</v>
      </c>
      <c r="C19">
        <v>11</v>
      </c>
      <c r="D19">
        <v>0</v>
      </c>
      <c r="E19">
        <v>2</v>
      </c>
      <c r="F19">
        <v>9</v>
      </c>
      <c r="G19">
        <v>5</v>
      </c>
      <c r="H19">
        <v>18</v>
      </c>
      <c r="I19">
        <f t="shared" si="2"/>
        <v>-13</v>
      </c>
      <c r="J19">
        <f t="shared" si="1"/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D33D-0A6F-4B60-A14A-9A00748F11D4}">
  <dimension ref="A1:K19"/>
  <sheetViews>
    <sheetView workbookViewId="0">
      <selection activeCell="H19" sqref="H19"/>
    </sheetView>
  </sheetViews>
  <sheetFormatPr baseColWidth="10" defaultRowHeight="15"/>
  <cols>
    <col min="1" max="1" width="6.42578125" bestFit="1" customWidth="1"/>
    <col min="2" max="2" width="19.85546875" bestFit="1" customWidth="1"/>
    <col min="3" max="10" width="5.5703125" customWidth="1"/>
    <col min="11" max="11" width="34" bestFit="1" customWidth="1"/>
  </cols>
  <sheetData>
    <row r="1" spans="1:11" s="1" customFormat="1">
      <c r="A1" s="1" t="s">
        <v>87</v>
      </c>
      <c r="B1" s="1" t="s">
        <v>0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88</v>
      </c>
    </row>
    <row r="2" spans="1:11">
      <c r="A2">
        <v>1</v>
      </c>
      <c r="B2" t="s">
        <v>12</v>
      </c>
      <c r="C2">
        <v>28</v>
      </c>
      <c r="D2">
        <v>17</v>
      </c>
      <c r="E2">
        <v>8</v>
      </c>
      <c r="F2">
        <f>C2-D2-E2</f>
        <v>3</v>
      </c>
      <c r="G2">
        <v>46</v>
      </c>
      <c r="H2">
        <v>19</v>
      </c>
      <c r="I2">
        <f>G2-H2</f>
        <v>27</v>
      </c>
      <c r="J2" s="4">
        <f>D2*3+E2*1</f>
        <v>59</v>
      </c>
      <c r="K2" t="s">
        <v>89</v>
      </c>
    </row>
    <row r="3" spans="1:11">
      <c r="A3">
        <v>2</v>
      </c>
      <c r="B3" t="s">
        <v>43</v>
      </c>
      <c r="C3">
        <v>28</v>
      </c>
      <c r="D3">
        <v>14</v>
      </c>
      <c r="E3">
        <v>8</v>
      </c>
      <c r="F3">
        <f t="shared" ref="F3:F19" si="0">C3-D3-E3</f>
        <v>6</v>
      </c>
      <c r="G3">
        <v>45</v>
      </c>
      <c r="H3">
        <v>33</v>
      </c>
      <c r="I3">
        <f t="shared" ref="I3:I19" si="1">G3-H3</f>
        <v>12</v>
      </c>
      <c r="J3" s="4">
        <f t="shared" ref="J3:J18" si="2">D3*3+E3*1</f>
        <v>50</v>
      </c>
      <c r="K3" t="s">
        <v>89</v>
      </c>
    </row>
    <row r="4" spans="1:11">
      <c r="A4">
        <v>3</v>
      </c>
      <c r="B4" t="s">
        <v>26</v>
      </c>
      <c r="C4">
        <v>28</v>
      </c>
      <c r="D4">
        <v>14</v>
      </c>
      <c r="E4">
        <v>6</v>
      </c>
      <c r="F4">
        <f t="shared" si="0"/>
        <v>8</v>
      </c>
      <c r="G4">
        <v>39</v>
      </c>
      <c r="H4">
        <v>25</v>
      </c>
      <c r="I4">
        <f>G4-H4</f>
        <v>14</v>
      </c>
      <c r="J4" s="4">
        <f t="shared" si="2"/>
        <v>48</v>
      </c>
      <c r="K4" t="s">
        <v>90</v>
      </c>
    </row>
    <row r="5" spans="1:11">
      <c r="A5">
        <v>4</v>
      </c>
      <c r="B5" t="s">
        <v>37</v>
      </c>
      <c r="C5">
        <v>28</v>
      </c>
      <c r="D5">
        <v>13</v>
      </c>
      <c r="E5">
        <v>8</v>
      </c>
      <c r="F5">
        <f t="shared" si="0"/>
        <v>7</v>
      </c>
      <c r="G5">
        <v>47</v>
      </c>
      <c r="H5">
        <v>31</v>
      </c>
      <c r="I5">
        <f t="shared" si="1"/>
        <v>16</v>
      </c>
      <c r="J5" s="4">
        <f t="shared" si="2"/>
        <v>47</v>
      </c>
      <c r="K5" t="s">
        <v>90</v>
      </c>
    </row>
    <row r="6" spans="1:11">
      <c r="A6">
        <v>5</v>
      </c>
      <c r="B6" t="s">
        <v>23</v>
      </c>
      <c r="C6">
        <v>28</v>
      </c>
      <c r="D6">
        <v>14</v>
      </c>
      <c r="E6">
        <v>3</v>
      </c>
      <c r="F6">
        <f t="shared" si="0"/>
        <v>11</v>
      </c>
      <c r="G6">
        <v>41</v>
      </c>
      <c r="H6">
        <v>40</v>
      </c>
      <c r="I6">
        <f t="shared" si="1"/>
        <v>1</v>
      </c>
      <c r="J6" s="4">
        <f t="shared" si="2"/>
        <v>45</v>
      </c>
      <c r="K6" t="s">
        <v>91</v>
      </c>
    </row>
    <row r="7" spans="1:11">
      <c r="A7">
        <v>6</v>
      </c>
      <c r="B7" t="s">
        <v>17</v>
      </c>
      <c r="C7">
        <v>28</v>
      </c>
      <c r="D7">
        <v>13</v>
      </c>
      <c r="E7">
        <v>5</v>
      </c>
      <c r="F7">
        <f t="shared" si="0"/>
        <v>10</v>
      </c>
      <c r="G7">
        <v>48</v>
      </c>
      <c r="H7">
        <v>40</v>
      </c>
      <c r="I7">
        <f t="shared" si="1"/>
        <v>8</v>
      </c>
      <c r="J7" s="4">
        <f t="shared" si="2"/>
        <v>44</v>
      </c>
      <c r="K7" t="s">
        <v>91</v>
      </c>
    </row>
    <row r="8" spans="1:11">
      <c r="A8">
        <v>7</v>
      </c>
      <c r="B8" t="s">
        <v>9</v>
      </c>
      <c r="C8">
        <v>28</v>
      </c>
      <c r="D8">
        <v>12</v>
      </c>
      <c r="E8">
        <v>7</v>
      </c>
      <c r="F8">
        <f t="shared" si="0"/>
        <v>9</v>
      </c>
      <c r="G8">
        <v>43</v>
      </c>
      <c r="H8">
        <v>36</v>
      </c>
      <c r="I8">
        <f t="shared" si="1"/>
        <v>7</v>
      </c>
      <c r="J8" s="4">
        <f t="shared" si="2"/>
        <v>43</v>
      </c>
      <c r="K8" t="s">
        <v>91</v>
      </c>
    </row>
    <row r="9" spans="1:11">
      <c r="A9">
        <v>8</v>
      </c>
      <c r="B9" t="s">
        <v>35</v>
      </c>
      <c r="C9">
        <v>28</v>
      </c>
      <c r="D9">
        <v>12</v>
      </c>
      <c r="E9">
        <v>7</v>
      </c>
      <c r="F9">
        <f t="shared" si="0"/>
        <v>9</v>
      </c>
      <c r="G9">
        <v>36</v>
      </c>
      <c r="H9">
        <v>45</v>
      </c>
      <c r="I9">
        <f t="shared" si="1"/>
        <v>-9</v>
      </c>
      <c r="J9" s="4">
        <f t="shared" si="2"/>
        <v>43</v>
      </c>
      <c r="K9" t="s">
        <v>91</v>
      </c>
    </row>
    <row r="10" spans="1:11">
      <c r="A10">
        <v>9</v>
      </c>
      <c r="B10" t="s">
        <v>42</v>
      </c>
      <c r="C10">
        <v>28</v>
      </c>
      <c r="D10">
        <v>12</v>
      </c>
      <c r="E10">
        <v>5</v>
      </c>
      <c r="F10">
        <f t="shared" si="0"/>
        <v>11</v>
      </c>
      <c r="G10">
        <v>49</v>
      </c>
      <c r="H10">
        <v>40</v>
      </c>
      <c r="I10">
        <f>G10-H10</f>
        <v>9</v>
      </c>
      <c r="J10" s="4">
        <f>D10*3+E10*1</f>
        <v>41</v>
      </c>
      <c r="K10" t="s">
        <v>92</v>
      </c>
    </row>
    <row r="11" spans="1:11">
      <c r="A11">
        <v>10</v>
      </c>
      <c r="B11" t="s">
        <v>24</v>
      </c>
      <c r="C11">
        <v>28</v>
      </c>
      <c r="D11">
        <v>11</v>
      </c>
      <c r="E11">
        <v>5</v>
      </c>
      <c r="F11">
        <f t="shared" si="0"/>
        <v>12</v>
      </c>
      <c r="G11">
        <v>38</v>
      </c>
      <c r="H11">
        <v>44</v>
      </c>
      <c r="I11">
        <f t="shared" si="1"/>
        <v>-6</v>
      </c>
      <c r="J11" s="4">
        <f t="shared" si="2"/>
        <v>38</v>
      </c>
      <c r="K11" t="s">
        <v>92</v>
      </c>
    </row>
    <row r="12" spans="1:11">
      <c r="A12">
        <v>11</v>
      </c>
      <c r="B12" t="s">
        <v>32</v>
      </c>
      <c r="C12">
        <v>28</v>
      </c>
      <c r="D12">
        <v>9</v>
      </c>
      <c r="E12">
        <v>8</v>
      </c>
      <c r="F12">
        <f t="shared" si="0"/>
        <v>11</v>
      </c>
      <c r="G12">
        <v>43</v>
      </c>
      <c r="H12">
        <v>53</v>
      </c>
      <c r="I12">
        <f>G12-H12</f>
        <v>-10</v>
      </c>
      <c r="J12" s="4">
        <f>D12*3+E12*1</f>
        <v>35</v>
      </c>
      <c r="K12" t="s">
        <v>92</v>
      </c>
    </row>
    <row r="13" spans="1:11">
      <c r="A13">
        <v>12</v>
      </c>
      <c r="B13" t="s">
        <v>39</v>
      </c>
      <c r="C13">
        <v>28</v>
      </c>
      <c r="D13">
        <v>10</v>
      </c>
      <c r="E13">
        <v>8</v>
      </c>
      <c r="F13">
        <f t="shared" si="0"/>
        <v>10</v>
      </c>
      <c r="G13">
        <v>30</v>
      </c>
      <c r="H13">
        <v>29</v>
      </c>
      <c r="I13">
        <f>G13-H13</f>
        <v>1</v>
      </c>
      <c r="J13" s="4">
        <f>D13*3+E13*1-4</f>
        <v>34</v>
      </c>
      <c r="K13" t="s">
        <v>92</v>
      </c>
    </row>
    <row r="14" spans="1:11">
      <c r="A14">
        <v>13</v>
      </c>
      <c r="B14" t="s">
        <v>15</v>
      </c>
      <c r="C14">
        <v>28</v>
      </c>
      <c r="D14">
        <v>9</v>
      </c>
      <c r="E14">
        <v>6</v>
      </c>
      <c r="F14">
        <f t="shared" si="0"/>
        <v>13</v>
      </c>
      <c r="G14">
        <v>26</v>
      </c>
      <c r="H14">
        <v>31</v>
      </c>
      <c r="I14">
        <f>G14-H14</f>
        <v>-5</v>
      </c>
      <c r="J14" s="4">
        <f>D14*3+E14*1</f>
        <v>33</v>
      </c>
      <c r="K14" t="s">
        <v>92</v>
      </c>
    </row>
    <row r="15" spans="1:11">
      <c r="A15">
        <v>14</v>
      </c>
      <c r="B15" t="s">
        <v>19</v>
      </c>
      <c r="C15">
        <v>28</v>
      </c>
      <c r="D15">
        <v>7</v>
      </c>
      <c r="E15">
        <v>10</v>
      </c>
      <c r="F15">
        <f t="shared" si="0"/>
        <v>11</v>
      </c>
      <c r="G15">
        <v>36</v>
      </c>
      <c r="H15">
        <v>39</v>
      </c>
      <c r="I15">
        <f t="shared" si="1"/>
        <v>-3</v>
      </c>
      <c r="J15" s="4">
        <f t="shared" si="2"/>
        <v>31</v>
      </c>
      <c r="K15" t="s">
        <v>93</v>
      </c>
    </row>
    <row r="16" spans="1:11">
      <c r="A16">
        <v>15</v>
      </c>
      <c r="B16" t="s">
        <v>30</v>
      </c>
      <c r="C16">
        <v>28</v>
      </c>
      <c r="D16">
        <v>7</v>
      </c>
      <c r="E16">
        <v>7</v>
      </c>
      <c r="F16">
        <f t="shared" si="0"/>
        <v>14</v>
      </c>
      <c r="G16">
        <v>41</v>
      </c>
      <c r="H16">
        <v>52</v>
      </c>
      <c r="I16">
        <f>G16-H16</f>
        <v>-11</v>
      </c>
      <c r="J16" s="4">
        <f>D16*3+E16*1-2</f>
        <v>26</v>
      </c>
      <c r="K16" t="s">
        <v>93</v>
      </c>
    </row>
    <row r="17" spans="1:11">
      <c r="A17">
        <v>16</v>
      </c>
      <c r="B17" t="s">
        <v>5</v>
      </c>
      <c r="C17">
        <v>28</v>
      </c>
      <c r="D17">
        <v>6</v>
      </c>
      <c r="E17">
        <v>8</v>
      </c>
      <c r="F17">
        <f t="shared" si="0"/>
        <v>14</v>
      </c>
      <c r="G17">
        <v>29</v>
      </c>
      <c r="H17">
        <v>42</v>
      </c>
      <c r="I17">
        <f t="shared" si="1"/>
        <v>-13</v>
      </c>
      <c r="J17" s="4">
        <f>D17*3+E17*1-1</f>
        <v>25</v>
      </c>
      <c r="K17" s="5" t="s">
        <v>94</v>
      </c>
    </row>
    <row r="18" spans="1:11">
      <c r="A18">
        <v>17</v>
      </c>
      <c r="B18" t="s">
        <v>27</v>
      </c>
      <c r="C18">
        <v>28</v>
      </c>
      <c r="D18">
        <v>6</v>
      </c>
      <c r="E18">
        <v>7</v>
      </c>
      <c r="F18">
        <f t="shared" si="0"/>
        <v>15</v>
      </c>
      <c r="G18">
        <v>24</v>
      </c>
      <c r="H18">
        <v>43</v>
      </c>
      <c r="I18">
        <f t="shared" si="1"/>
        <v>-19</v>
      </c>
      <c r="J18" s="4">
        <f t="shared" si="2"/>
        <v>25</v>
      </c>
      <c r="K18" s="5" t="s">
        <v>95</v>
      </c>
    </row>
    <row r="19" spans="1:11">
      <c r="A19">
        <v>18</v>
      </c>
      <c r="B19" t="s">
        <v>44</v>
      </c>
      <c r="C19">
        <v>28</v>
      </c>
      <c r="D19">
        <v>4</v>
      </c>
      <c r="E19">
        <v>8</v>
      </c>
      <c r="F19">
        <f t="shared" si="0"/>
        <v>16</v>
      </c>
      <c r="G19">
        <v>32</v>
      </c>
      <c r="H19">
        <v>51</v>
      </c>
      <c r="I19">
        <f t="shared" si="1"/>
        <v>-19</v>
      </c>
      <c r="J19" s="4">
        <f>D19*3+E19*1-10</f>
        <v>10</v>
      </c>
      <c r="K19" s="5" t="s">
        <v>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2983-6FB7-4ECD-8009-F6A80D39136C}">
  <dimension ref="A1:F65"/>
  <sheetViews>
    <sheetView tabSelected="1" topLeftCell="A28" workbookViewId="0">
      <selection activeCell="E17" sqref="E17"/>
    </sheetView>
  </sheetViews>
  <sheetFormatPr baseColWidth="10" defaultRowHeight="15"/>
  <cols>
    <col min="1" max="1" width="10.7109375" bestFit="1" customWidth="1"/>
    <col min="2" max="3" width="18.42578125" bestFit="1" customWidth="1"/>
    <col min="4" max="5" width="6.140625" customWidth="1"/>
    <col min="6" max="6" width="28.7109375" bestFit="1" customWidth="1"/>
  </cols>
  <sheetData>
    <row r="1" spans="1:6">
      <c r="A1" s="1" t="s">
        <v>96</v>
      </c>
      <c r="B1" s="1" t="s">
        <v>47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s="3">
        <v>45499</v>
      </c>
      <c r="B2" t="s">
        <v>43</v>
      </c>
      <c r="C2" t="s">
        <v>12</v>
      </c>
      <c r="D2">
        <v>2</v>
      </c>
      <c r="E2">
        <v>1</v>
      </c>
      <c r="F2" t="s">
        <v>177</v>
      </c>
    </row>
    <row r="3" spans="1:6">
      <c r="A3" s="3">
        <v>45332</v>
      </c>
      <c r="B3" t="s">
        <v>12</v>
      </c>
      <c r="C3" t="s">
        <v>43</v>
      </c>
      <c r="D3">
        <v>0</v>
      </c>
      <c r="E3">
        <v>1</v>
      </c>
      <c r="F3" t="s">
        <v>177</v>
      </c>
    </row>
    <row r="4" spans="1:6">
      <c r="A4" s="3">
        <v>44976</v>
      </c>
      <c r="B4" t="s">
        <v>43</v>
      </c>
      <c r="C4" t="s">
        <v>12</v>
      </c>
      <c r="D4">
        <v>1</v>
      </c>
      <c r="E4">
        <v>2</v>
      </c>
      <c r="F4" t="s">
        <v>178</v>
      </c>
    </row>
    <row r="5" spans="1:6">
      <c r="A5" s="3">
        <v>44808</v>
      </c>
      <c r="B5" t="s">
        <v>12</v>
      </c>
      <c r="C5" t="s">
        <v>43</v>
      </c>
      <c r="D5">
        <v>0</v>
      </c>
      <c r="E5">
        <v>2</v>
      </c>
      <c r="F5" t="s">
        <v>179</v>
      </c>
    </row>
    <row r="6" spans="1:6">
      <c r="A6" s="3">
        <v>44668</v>
      </c>
      <c r="B6" t="s">
        <v>43</v>
      </c>
      <c r="C6" t="s">
        <v>12</v>
      </c>
      <c r="D6">
        <v>1</v>
      </c>
      <c r="E6">
        <v>4</v>
      </c>
      <c r="F6" t="s">
        <v>180</v>
      </c>
    </row>
    <row r="7" spans="1:6">
      <c r="A7" s="3">
        <v>44426</v>
      </c>
      <c r="B7" t="s">
        <v>43</v>
      </c>
      <c r="C7" t="s">
        <v>12</v>
      </c>
      <c r="D7">
        <v>1</v>
      </c>
      <c r="E7">
        <v>2</v>
      </c>
      <c r="F7" t="s">
        <v>181</v>
      </c>
    </row>
    <row r="8" spans="1:6">
      <c r="A8" s="3">
        <v>43898</v>
      </c>
      <c r="B8" t="s">
        <v>43</v>
      </c>
      <c r="C8" t="s">
        <v>12</v>
      </c>
      <c r="D8">
        <v>2</v>
      </c>
      <c r="E8">
        <v>0</v>
      </c>
      <c r="F8" t="s">
        <v>182</v>
      </c>
    </row>
    <row r="9" spans="1:6">
      <c r="A9" s="3">
        <v>43737</v>
      </c>
      <c r="B9" t="s">
        <v>43</v>
      </c>
      <c r="C9" t="s">
        <v>12</v>
      </c>
      <c r="D9">
        <v>1</v>
      </c>
      <c r="E9">
        <v>0</v>
      </c>
      <c r="F9" t="s">
        <v>183</v>
      </c>
    </row>
    <row r="10" spans="1:6">
      <c r="A10" s="3">
        <v>43570</v>
      </c>
      <c r="B10" t="s">
        <v>12</v>
      </c>
      <c r="C10" t="s">
        <v>43</v>
      </c>
      <c r="D10">
        <v>2</v>
      </c>
      <c r="E10">
        <v>3</v>
      </c>
      <c r="F10" t="s">
        <v>184</v>
      </c>
    </row>
    <row r="11" spans="1:6">
      <c r="A11" s="3">
        <v>43407</v>
      </c>
      <c r="B11" t="s">
        <v>12</v>
      </c>
      <c r="C11" t="s">
        <v>43</v>
      </c>
      <c r="D11">
        <v>2</v>
      </c>
      <c r="E11">
        <v>1</v>
      </c>
      <c r="F11" t="s">
        <v>185</v>
      </c>
    </row>
    <row r="12" spans="1:6">
      <c r="A12" s="3">
        <v>45499</v>
      </c>
      <c r="B12" t="s">
        <v>43</v>
      </c>
      <c r="C12" t="s">
        <v>12</v>
      </c>
      <c r="D12">
        <v>2</v>
      </c>
      <c r="E12">
        <v>1</v>
      </c>
      <c r="F12" t="s">
        <v>177</v>
      </c>
    </row>
    <row r="13" spans="1:6">
      <c r="A13" s="3">
        <v>45332</v>
      </c>
      <c r="B13" t="s">
        <v>12</v>
      </c>
      <c r="C13" t="s">
        <v>43</v>
      </c>
      <c r="D13">
        <v>0</v>
      </c>
      <c r="E13">
        <v>1</v>
      </c>
      <c r="F13" t="s">
        <v>177</v>
      </c>
    </row>
    <row r="14" spans="1:6">
      <c r="A14" s="3">
        <v>44976</v>
      </c>
      <c r="B14" t="s">
        <v>43</v>
      </c>
      <c r="C14" t="s">
        <v>12</v>
      </c>
      <c r="D14">
        <v>1</v>
      </c>
      <c r="E14">
        <v>2</v>
      </c>
      <c r="F14" t="s">
        <v>178</v>
      </c>
    </row>
    <row r="15" spans="1:6">
      <c r="A15" s="3">
        <v>44808</v>
      </c>
      <c r="B15" t="s">
        <v>12</v>
      </c>
      <c r="C15" t="s">
        <v>43</v>
      </c>
      <c r="D15">
        <v>0</v>
      </c>
      <c r="E15">
        <v>2</v>
      </c>
      <c r="F15" t="s">
        <v>179</v>
      </c>
    </row>
    <row r="16" spans="1:6">
      <c r="A16" s="3">
        <v>44668</v>
      </c>
      <c r="B16" t="s">
        <v>43</v>
      </c>
      <c r="C16" t="s">
        <v>12</v>
      </c>
      <c r="D16">
        <v>1</v>
      </c>
      <c r="E16">
        <v>4</v>
      </c>
      <c r="F16" t="s">
        <v>180</v>
      </c>
    </row>
    <row r="17" spans="1:6">
      <c r="A17" s="3">
        <v>44426</v>
      </c>
      <c r="B17" t="s">
        <v>43</v>
      </c>
      <c r="C17" t="s">
        <v>12</v>
      </c>
      <c r="D17">
        <v>1</v>
      </c>
      <c r="E17">
        <v>2</v>
      </c>
      <c r="F17" t="s">
        <v>181</v>
      </c>
    </row>
    <row r="18" spans="1:6">
      <c r="A18" s="3">
        <v>43898</v>
      </c>
      <c r="B18" t="s">
        <v>43</v>
      </c>
      <c r="C18" t="s">
        <v>12</v>
      </c>
      <c r="D18">
        <v>2</v>
      </c>
      <c r="E18">
        <v>0</v>
      </c>
      <c r="F18" t="s">
        <v>182</v>
      </c>
    </row>
    <row r="19" spans="1:6">
      <c r="A19" s="3">
        <v>43737</v>
      </c>
      <c r="B19" t="s">
        <v>43</v>
      </c>
      <c r="C19" t="s">
        <v>12</v>
      </c>
      <c r="D19">
        <v>1</v>
      </c>
      <c r="E19">
        <v>0</v>
      </c>
      <c r="F19" t="s">
        <v>183</v>
      </c>
    </row>
    <row r="20" spans="1:6">
      <c r="A20" s="3">
        <v>43570</v>
      </c>
      <c r="B20" t="s">
        <v>12</v>
      </c>
      <c r="C20" t="s">
        <v>43</v>
      </c>
      <c r="D20">
        <v>2</v>
      </c>
      <c r="E20">
        <v>3</v>
      </c>
      <c r="F20" t="s">
        <v>184</v>
      </c>
    </row>
    <row r="21" spans="1:6">
      <c r="A21" s="3">
        <v>43407</v>
      </c>
      <c r="B21" t="s">
        <v>12</v>
      </c>
      <c r="C21" t="s">
        <v>43</v>
      </c>
      <c r="D21">
        <v>2</v>
      </c>
      <c r="E21">
        <v>1</v>
      </c>
      <c r="F21" t="s">
        <v>185</v>
      </c>
    </row>
    <row r="22" spans="1:6">
      <c r="A22" s="3">
        <v>46242</v>
      </c>
      <c r="B22" t="s">
        <v>43</v>
      </c>
      <c r="C22" t="s">
        <v>42</v>
      </c>
      <c r="D22">
        <v>1</v>
      </c>
      <c r="E22">
        <v>1</v>
      </c>
      <c r="F22" t="s">
        <v>177</v>
      </c>
    </row>
    <row r="23" spans="1:6">
      <c r="A23" s="3">
        <v>46074</v>
      </c>
      <c r="B23" t="s">
        <v>42</v>
      </c>
      <c r="C23" t="s">
        <v>43</v>
      </c>
      <c r="D23">
        <v>2</v>
      </c>
      <c r="E23">
        <v>2</v>
      </c>
      <c r="F23" t="s">
        <v>177</v>
      </c>
    </row>
    <row r="24" spans="1:6">
      <c r="A24" s="3">
        <v>45954</v>
      </c>
      <c r="B24" t="s">
        <v>42</v>
      </c>
      <c r="C24" t="s">
        <v>43</v>
      </c>
      <c r="D24">
        <v>0</v>
      </c>
      <c r="E24">
        <v>1</v>
      </c>
      <c r="F24" t="s">
        <v>177</v>
      </c>
    </row>
    <row r="25" spans="1:6">
      <c r="A25" s="3">
        <v>45800</v>
      </c>
      <c r="B25" t="s">
        <v>43</v>
      </c>
      <c r="C25" t="s">
        <v>42</v>
      </c>
      <c r="D25">
        <v>2</v>
      </c>
      <c r="E25">
        <v>0</v>
      </c>
      <c r="F25" t="s">
        <v>177</v>
      </c>
    </row>
    <row r="26" spans="1:6">
      <c r="A26" s="3">
        <v>45589</v>
      </c>
      <c r="B26" t="s">
        <v>42</v>
      </c>
      <c r="C26" t="s">
        <v>43</v>
      </c>
      <c r="D26">
        <v>2</v>
      </c>
      <c r="E26">
        <v>1</v>
      </c>
      <c r="F26" t="s">
        <v>177</v>
      </c>
    </row>
    <row r="27" spans="1:6">
      <c r="A27" s="3">
        <v>45425</v>
      </c>
      <c r="B27" t="s">
        <v>43</v>
      </c>
      <c r="C27" t="s">
        <v>42</v>
      </c>
      <c r="D27">
        <v>4</v>
      </c>
      <c r="E27">
        <v>1</v>
      </c>
      <c r="F27" t="s">
        <v>177</v>
      </c>
    </row>
    <row r="28" spans="1:6">
      <c r="A28" s="3">
        <v>45186</v>
      </c>
      <c r="B28" t="s">
        <v>42</v>
      </c>
      <c r="C28" t="s">
        <v>43</v>
      </c>
      <c r="D28">
        <v>0</v>
      </c>
      <c r="E28">
        <v>0</v>
      </c>
      <c r="F28" t="s">
        <v>186</v>
      </c>
    </row>
    <row r="29" spans="1:6">
      <c r="A29" s="3">
        <v>45041</v>
      </c>
      <c r="B29" t="s">
        <v>43</v>
      </c>
      <c r="C29" t="s">
        <v>42</v>
      </c>
      <c r="D29">
        <v>2</v>
      </c>
      <c r="E29">
        <v>0</v>
      </c>
      <c r="F29" t="s">
        <v>178</v>
      </c>
    </row>
    <row r="30" spans="1:6">
      <c r="A30" s="3">
        <v>44843</v>
      </c>
      <c r="B30" t="s">
        <v>42</v>
      </c>
      <c r="C30" t="s">
        <v>43</v>
      </c>
      <c r="D30">
        <v>0</v>
      </c>
      <c r="E30">
        <v>0</v>
      </c>
      <c r="F30" t="s">
        <v>187</v>
      </c>
    </row>
    <row r="31" spans="1:6">
      <c r="A31" s="3">
        <v>44703</v>
      </c>
      <c r="B31" t="s">
        <v>43</v>
      </c>
      <c r="C31" t="s">
        <v>42</v>
      </c>
      <c r="D31">
        <v>1</v>
      </c>
      <c r="E31">
        <v>1</v>
      </c>
      <c r="F31" t="s">
        <v>188</v>
      </c>
    </row>
    <row r="32" spans="1:6">
      <c r="A32" s="3">
        <v>46251</v>
      </c>
      <c r="B32" t="s">
        <v>17</v>
      </c>
      <c r="C32" t="s">
        <v>26</v>
      </c>
      <c r="D32">
        <v>0</v>
      </c>
      <c r="E32">
        <v>0</v>
      </c>
      <c r="F32" t="s">
        <v>177</v>
      </c>
    </row>
    <row r="33" spans="1:6">
      <c r="A33" s="3">
        <v>46081</v>
      </c>
      <c r="B33" t="s">
        <v>26</v>
      </c>
      <c r="C33" t="s">
        <v>17</v>
      </c>
      <c r="D33">
        <v>2</v>
      </c>
      <c r="E33">
        <v>3</v>
      </c>
      <c r="F33" t="s">
        <v>177</v>
      </c>
    </row>
    <row r="34" spans="1:6">
      <c r="A34" s="3">
        <v>45871</v>
      </c>
      <c r="B34" t="s">
        <v>26</v>
      </c>
      <c r="C34" t="s">
        <v>17</v>
      </c>
      <c r="D34">
        <v>2</v>
      </c>
      <c r="E34">
        <v>1</v>
      </c>
      <c r="F34" t="s">
        <v>177</v>
      </c>
    </row>
    <row r="35" spans="1:6">
      <c r="A35" s="3">
        <v>45711</v>
      </c>
      <c r="B35" t="s">
        <v>17</v>
      </c>
      <c r="C35" t="s">
        <v>26</v>
      </c>
      <c r="D35">
        <v>2</v>
      </c>
      <c r="E35">
        <v>3</v>
      </c>
      <c r="F35" t="s">
        <v>177</v>
      </c>
    </row>
    <row r="36" spans="1:6">
      <c r="A36" s="3">
        <v>45557</v>
      </c>
      <c r="B36" t="s">
        <v>26</v>
      </c>
      <c r="C36" t="s">
        <v>17</v>
      </c>
      <c r="D36">
        <v>1</v>
      </c>
      <c r="E36">
        <v>0</v>
      </c>
      <c r="F36" t="s">
        <v>177</v>
      </c>
    </row>
    <row r="37" spans="1:6">
      <c r="A37" s="3">
        <v>45402</v>
      </c>
      <c r="B37" t="s">
        <v>17</v>
      </c>
      <c r="C37" t="s">
        <v>26</v>
      </c>
      <c r="D37">
        <v>0</v>
      </c>
      <c r="E37">
        <v>2</v>
      </c>
      <c r="F37" t="s">
        <v>177</v>
      </c>
    </row>
    <row r="38" spans="1:6">
      <c r="A38" s="3">
        <v>45194</v>
      </c>
      <c r="B38" t="s">
        <v>26</v>
      </c>
      <c r="C38" t="s">
        <v>17</v>
      </c>
      <c r="D38">
        <v>0</v>
      </c>
      <c r="E38">
        <v>3</v>
      </c>
      <c r="F38" t="s">
        <v>186</v>
      </c>
    </row>
    <row r="39" spans="1:6">
      <c r="A39" s="3">
        <v>45053</v>
      </c>
      <c r="B39" t="s">
        <v>17</v>
      </c>
      <c r="C39" t="s">
        <v>26</v>
      </c>
      <c r="D39">
        <v>0</v>
      </c>
      <c r="E39">
        <v>0</v>
      </c>
      <c r="F39" t="s">
        <v>178</v>
      </c>
    </row>
    <row r="40" spans="1:6">
      <c r="A40" s="3">
        <v>46088</v>
      </c>
      <c r="B40" t="s">
        <v>19</v>
      </c>
      <c r="C40" t="s">
        <v>44</v>
      </c>
      <c r="D40">
        <v>1</v>
      </c>
      <c r="E40">
        <v>2</v>
      </c>
      <c r="F40" t="s">
        <v>177</v>
      </c>
    </row>
    <row r="41" spans="1:6">
      <c r="A41" s="3">
        <v>46047</v>
      </c>
      <c r="B41" t="s">
        <v>44</v>
      </c>
      <c r="C41" t="s">
        <v>19</v>
      </c>
      <c r="D41">
        <v>1</v>
      </c>
      <c r="E41">
        <v>1</v>
      </c>
      <c r="F41" t="s">
        <v>189</v>
      </c>
    </row>
    <row r="42" spans="1:6">
      <c r="A42" s="3">
        <v>46043</v>
      </c>
      <c r="B42" t="s">
        <v>19</v>
      </c>
      <c r="C42" t="s">
        <v>44</v>
      </c>
      <c r="D42">
        <v>0</v>
      </c>
      <c r="E42">
        <v>1</v>
      </c>
      <c r="F42" t="s">
        <v>189</v>
      </c>
    </row>
    <row r="43" spans="1:6">
      <c r="A43" s="3">
        <v>45933</v>
      </c>
      <c r="B43" t="s">
        <v>19</v>
      </c>
      <c r="C43" t="s">
        <v>44</v>
      </c>
      <c r="D43">
        <v>2</v>
      </c>
      <c r="E43">
        <v>1</v>
      </c>
      <c r="F43" t="s">
        <v>177</v>
      </c>
    </row>
    <row r="44" spans="1:6">
      <c r="A44" s="3">
        <v>45794</v>
      </c>
      <c r="B44" t="s">
        <v>44</v>
      </c>
      <c r="C44" t="s">
        <v>19</v>
      </c>
      <c r="D44">
        <v>2</v>
      </c>
      <c r="E44">
        <v>0</v>
      </c>
      <c r="F44" t="s">
        <v>177</v>
      </c>
    </row>
    <row r="45" spans="1:6">
      <c r="A45" s="3">
        <v>45519</v>
      </c>
      <c r="B45" t="s">
        <v>19</v>
      </c>
      <c r="C45" t="s">
        <v>44</v>
      </c>
      <c r="D45">
        <v>1</v>
      </c>
      <c r="E45">
        <v>1</v>
      </c>
      <c r="F45" t="s">
        <v>177</v>
      </c>
    </row>
    <row r="46" spans="1:6">
      <c r="A46" s="3">
        <v>45359</v>
      </c>
      <c r="B46" t="s">
        <v>44</v>
      </c>
      <c r="C46" t="s">
        <v>19</v>
      </c>
      <c r="D46">
        <v>2</v>
      </c>
      <c r="E46">
        <v>3</v>
      </c>
      <c r="F46" t="s">
        <v>177</v>
      </c>
    </row>
    <row r="47" spans="1:6">
      <c r="A47" s="3">
        <v>44359</v>
      </c>
      <c r="B47" t="s">
        <v>19</v>
      </c>
      <c r="C47" t="s">
        <v>44</v>
      </c>
      <c r="D47">
        <v>0</v>
      </c>
      <c r="E47">
        <v>1</v>
      </c>
      <c r="F47" t="s">
        <v>190</v>
      </c>
    </row>
    <row r="48" spans="1:6">
      <c r="A48" s="3">
        <v>43639</v>
      </c>
      <c r="B48" t="s">
        <v>19</v>
      </c>
      <c r="C48" t="s">
        <v>44</v>
      </c>
      <c r="D48">
        <v>0</v>
      </c>
      <c r="E48">
        <v>1</v>
      </c>
      <c r="F48" t="s">
        <v>190</v>
      </c>
    </row>
    <row r="49" spans="1:6">
      <c r="A49" s="3">
        <v>43408</v>
      </c>
      <c r="B49" t="s">
        <v>19</v>
      </c>
      <c r="C49" t="s">
        <v>44</v>
      </c>
      <c r="D49">
        <v>0</v>
      </c>
      <c r="E49">
        <v>0</v>
      </c>
      <c r="F49" t="s">
        <v>177</v>
      </c>
    </row>
    <row r="50" spans="1:6">
      <c r="A50" s="3">
        <v>46094</v>
      </c>
      <c r="B50" t="s">
        <v>23</v>
      </c>
      <c r="C50" t="s">
        <v>17</v>
      </c>
      <c r="D50">
        <v>1</v>
      </c>
      <c r="E50">
        <v>2</v>
      </c>
      <c r="F50" t="s">
        <v>177</v>
      </c>
    </row>
    <row r="51" spans="1:6">
      <c r="A51" s="3">
        <v>46087</v>
      </c>
      <c r="B51" t="s">
        <v>23</v>
      </c>
      <c r="C51" t="s">
        <v>26</v>
      </c>
      <c r="D51">
        <v>1</v>
      </c>
      <c r="E51">
        <v>0</v>
      </c>
      <c r="F51" t="s">
        <v>177</v>
      </c>
    </row>
    <row r="52" spans="1:6">
      <c r="A52" s="3">
        <v>46150</v>
      </c>
      <c r="B52" t="s">
        <v>44</v>
      </c>
      <c r="C52" t="s">
        <v>30</v>
      </c>
      <c r="D52">
        <v>1</v>
      </c>
      <c r="E52">
        <v>2</v>
      </c>
      <c r="F52" t="s">
        <v>177</v>
      </c>
    </row>
    <row r="53" spans="1:6">
      <c r="A53" s="3">
        <v>46094</v>
      </c>
      <c r="B53" t="s">
        <v>30</v>
      </c>
      <c r="C53" t="s">
        <v>19</v>
      </c>
      <c r="D53">
        <v>3</v>
      </c>
      <c r="E53">
        <v>4</v>
      </c>
      <c r="F53" t="s">
        <v>177</v>
      </c>
    </row>
    <row r="54" spans="1:6">
      <c r="A54" s="3">
        <v>46277</v>
      </c>
      <c r="B54" t="s">
        <v>12</v>
      </c>
      <c r="C54" t="s">
        <v>43</v>
      </c>
      <c r="D54">
        <v>1</v>
      </c>
      <c r="E54">
        <v>2</v>
      </c>
      <c r="F54" t="s">
        <v>177</v>
      </c>
    </row>
    <row r="55" spans="1:6">
      <c r="A55" s="3">
        <v>46115</v>
      </c>
      <c r="B55" t="s">
        <v>191</v>
      </c>
      <c r="C55" t="s">
        <v>15</v>
      </c>
      <c r="D55">
        <v>2</v>
      </c>
      <c r="E55">
        <v>2</v>
      </c>
      <c r="F55" t="s">
        <v>177</v>
      </c>
    </row>
    <row r="56" spans="1:6">
      <c r="A56" s="3">
        <v>45963</v>
      </c>
      <c r="B56" t="s">
        <v>15</v>
      </c>
      <c r="C56" t="s">
        <v>191</v>
      </c>
      <c r="D56">
        <v>1</v>
      </c>
      <c r="E56">
        <v>1</v>
      </c>
      <c r="F56" t="s">
        <v>177</v>
      </c>
    </row>
    <row r="57" spans="1:6">
      <c r="A57" s="3">
        <v>45837</v>
      </c>
      <c r="B57" t="s">
        <v>191</v>
      </c>
      <c r="C57" t="s">
        <v>15</v>
      </c>
      <c r="D57">
        <v>2</v>
      </c>
      <c r="E57">
        <v>1</v>
      </c>
      <c r="F57" t="s">
        <v>177</v>
      </c>
    </row>
    <row r="58" spans="1:6">
      <c r="A58" s="3">
        <v>45487</v>
      </c>
      <c r="B58" t="s">
        <v>191</v>
      </c>
      <c r="C58" t="s">
        <v>15</v>
      </c>
      <c r="D58">
        <v>0</v>
      </c>
      <c r="E58">
        <v>0</v>
      </c>
      <c r="F58" t="s">
        <v>177</v>
      </c>
    </row>
    <row r="59" spans="1:6">
      <c r="A59" s="3">
        <v>45319</v>
      </c>
      <c r="B59" t="s">
        <v>15</v>
      </c>
      <c r="C59" t="s">
        <v>191</v>
      </c>
      <c r="D59">
        <v>1</v>
      </c>
      <c r="E59">
        <v>1</v>
      </c>
      <c r="F59" t="s">
        <v>177</v>
      </c>
    </row>
    <row r="60" spans="1:6">
      <c r="A60" s="3">
        <v>45207</v>
      </c>
      <c r="B60" t="s">
        <v>15</v>
      </c>
      <c r="C60" t="s">
        <v>191</v>
      </c>
      <c r="D60">
        <v>1</v>
      </c>
      <c r="E60">
        <v>1</v>
      </c>
      <c r="F60" t="s">
        <v>177</v>
      </c>
    </row>
    <row r="61" spans="1:6">
      <c r="A61" s="3">
        <v>45073</v>
      </c>
      <c r="B61" t="s">
        <v>191</v>
      </c>
      <c r="C61" t="s">
        <v>15</v>
      </c>
      <c r="D61">
        <v>3</v>
      </c>
      <c r="E61">
        <v>2</v>
      </c>
      <c r="F61" t="s">
        <v>177</v>
      </c>
    </row>
    <row r="62" spans="1:6">
      <c r="A62" s="3">
        <v>44843</v>
      </c>
      <c r="B62" t="s">
        <v>191</v>
      </c>
      <c r="C62" t="s">
        <v>15</v>
      </c>
      <c r="D62">
        <v>4</v>
      </c>
      <c r="E62">
        <v>1</v>
      </c>
      <c r="F62" t="s">
        <v>177</v>
      </c>
    </row>
    <row r="63" spans="1:6">
      <c r="A63" s="3">
        <v>44703</v>
      </c>
      <c r="B63" t="s">
        <v>15</v>
      </c>
      <c r="C63" t="s">
        <v>191</v>
      </c>
      <c r="D63">
        <v>1</v>
      </c>
      <c r="E63">
        <v>2</v>
      </c>
      <c r="F63" t="s">
        <v>177</v>
      </c>
    </row>
    <row r="64" spans="1:6">
      <c r="A64" s="3">
        <v>43744</v>
      </c>
      <c r="B64" t="s">
        <v>15</v>
      </c>
      <c r="C64" t="s">
        <v>191</v>
      </c>
      <c r="D64">
        <v>3</v>
      </c>
      <c r="E64">
        <v>1</v>
      </c>
      <c r="F64" t="s">
        <v>192</v>
      </c>
    </row>
    <row r="65" spans="1:6">
      <c r="A65" s="3">
        <v>46278</v>
      </c>
      <c r="B65" t="s">
        <v>191</v>
      </c>
      <c r="C65" t="s">
        <v>15</v>
      </c>
      <c r="D65">
        <v>1</v>
      </c>
      <c r="E65">
        <v>3</v>
      </c>
      <c r="F65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Data_Geografica</vt:lpstr>
      <vt:lpstr>Partidos_Fecha</vt:lpstr>
      <vt:lpstr>Resultados_Apertura</vt:lpstr>
      <vt:lpstr>Resultados_Clausura</vt:lpstr>
      <vt:lpstr>Formulas</vt:lpstr>
      <vt:lpstr>Tabla_Clausura</vt:lpstr>
      <vt:lpstr>Tabla_Acumulada</vt:lpstr>
      <vt:lpstr>Historial_H2H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GIULIANNO</dc:creator>
  <cp:lastModifiedBy>GIULIANNO</cp:lastModifiedBy>
  <dcterms:created xsi:type="dcterms:W3CDTF">2026-09-05T00:54:48Z</dcterms:created>
  <dcterms:modified xsi:type="dcterms:W3CDTF">2026-10-12T02:11:29Z</dcterms:modified>
</cp:coreProperties>
</file>