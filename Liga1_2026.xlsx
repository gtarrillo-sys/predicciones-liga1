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F:\EMPRESA\"/>
    </mc:Choice>
  </mc:AlternateContent>
  <xr:revisionPtr revIDLastSave="0" documentId="13_ncr:1_{34CAE05C-7E15-4E78-90D2-4D72437C75E0}" xr6:coauthVersionLast="45" xr6:coauthVersionMax="47" xr10:uidLastSave="{00000000-0000-0000-0000-000000000000}"/>
  <bookViews>
    <workbookView xWindow="-108" yWindow="-108" windowWidth="30936" windowHeight="16896" activeTab="6" xr2:uid="{92099A8A-09DA-40B1-A95C-2AD63072D0A5}"/>
  </bookViews>
  <sheets>
    <sheet name="Data_Geografica" sheetId="1" r:id="rId1"/>
    <sheet name="Partidos_Fecha" sheetId="2" r:id="rId2"/>
    <sheet name="Resultados_Apertura" sheetId="6" r:id="rId3"/>
    <sheet name="Resultados_Clausura" sheetId="3" r:id="rId4"/>
    <sheet name="Tabla_Clausura" sheetId="4" r:id="rId5"/>
    <sheet name="Tabla_Acumulada" sheetId="5" r:id="rId6"/>
    <sheet name="Historial_H2H" sheetId="7" r:id="rId7"/>
  </sheets>
  <definedNames>
    <definedName name="_xlnm._FilterDatabase" localSheetId="6" hidden="1">Historial_H2H!$A$1:$F$49</definedName>
    <definedName name="_xlnm._FilterDatabase" localSheetId="2" hidden="1">Resultados_Apertura!$A$1:$J$154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3" i="5" l="1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" i="5"/>
  <c r="I3" i="4" l="1"/>
  <c r="I4" i="4"/>
  <c r="I5" i="4"/>
  <c r="I6" i="4"/>
  <c r="I7" i="4"/>
  <c r="I8" i="4"/>
  <c r="I9" i="4"/>
  <c r="I10" i="4"/>
  <c r="I11" i="4"/>
  <c r="I12" i="4"/>
  <c r="I13" i="4"/>
  <c r="I14" i="4"/>
  <c r="I15" i="4"/>
  <c r="I16" i="4"/>
  <c r="I17" i="4"/>
  <c r="I18" i="4"/>
  <c r="I19" i="4"/>
  <c r="I2" i="4"/>
</calcChain>
</file>

<file path=xl/sharedStrings.xml><?xml version="1.0" encoding="utf-8"?>
<sst xmlns="http://schemas.openxmlformats.org/spreadsheetml/2006/main" count="1955" uniqueCount="206">
  <si>
    <t>Club</t>
  </si>
  <si>
    <t>Ciudad</t>
  </si>
  <si>
    <t>Altitud_msnm</t>
  </si>
  <si>
    <t>Tipo_Clima</t>
  </si>
  <si>
    <t>Tipo_Cancha</t>
  </si>
  <si>
    <t>ADT</t>
  </si>
  <si>
    <t>Tarma</t>
  </si>
  <si>
    <t>Altura Extremada</t>
  </si>
  <si>
    <t>Natural</t>
  </si>
  <si>
    <t>Alianza Atlético</t>
  </si>
  <si>
    <t>Sullana</t>
  </si>
  <si>
    <t>Calor Extremo</t>
  </si>
  <si>
    <t>Alianza Lima</t>
  </si>
  <si>
    <t>Lima</t>
  </si>
  <si>
    <t>Llano</t>
  </si>
  <si>
    <t>Atlético Grau</t>
  </si>
  <si>
    <t>Piura</t>
  </si>
  <si>
    <t>Cienciano</t>
  </si>
  <si>
    <t>Cusco</t>
  </si>
  <si>
    <t>Comerciantes Unidos</t>
  </si>
  <si>
    <t>Cutervo</t>
  </si>
  <si>
    <t>Altura Media</t>
  </si>
  <si>
    <t>Sintético</t>
  </si>
  <si>
    <t>Cusco FC</t>
  </si>
  <si>
    <t>Sport Huancayo</t>
  </si>
  <si>
    <t>Huancayo</t>
  </si>
  <si>
    <t>Deportivo Garcilaso</t>
  </si>
  <si>
    <t>CD Moquegua</t>
  </si>
  <si>
    <t>Moquegua</t>
  </si>
  <si>
    <t>Altura Media/Calor</t>
  </si>
  <si>
    <t>FC Cajamarca</t>
  </si>
  <si>
    <t>Cajamarca</t>
  </si>
  <si>
    <t>Juan Pablo II College</t>
  </si>
  <si>
    <t>Chongoyape</t>
  </si>
  <si>
    <t>Calor</t>
  </si>
  <si>
    <t>Chankas CYC</t>
  </si>
  <si>
    <t>Andahuaylas</t>
  </si>
  <si>
    <t>Melgar</t>
  </si>
  <si>
    <t>Arequipa</t>
  </si>
  <si>
    <t>Sport Boys</t>
  </si>
  <si>
    <t>Callao</t>
  </si>
  <si>
    <t>Llano/Humedad</t>
  </si>
  <si>
    <t>Sporting Cristal</t>
  </si>
  <si>
    <t>Universitario</t>
  </si>
  <si>
    <t>UTC Cajamarca</t>
  </si>
  <si>
    <t>Jornada</t>
  </si>
  <si>
    <t>Hora</t>
  </si>
  <si>
    <t>Local</t>
  </si>
  <si>
    <t>Visita</t>
  </si>
  <si>
    <t>Estadio</t>
  </si>
  <si>
    <t>Altitud_Local</t>
  </si>
  <si>
    <t>Altitud_Visita</t>
  </si>
  <si>
    <t>Delta_Altitud_msnm</t>
  </si>
  <si>
    <t>Dias_Descanso_Local</t>
  </si>
  <si>
    <t>Dias_Descanso_Visita</t>
  </si>
  <si>
    <t>Jornada 8</t>
  </si>
  <si>
    <t>Estadio Héroes de San Ramón</t>
  </si>
  <si>
    <t>Estadio Campeones del 36</t>
  </si>
  <si>
    <t>Estadio IPD Huancayo</t>
  </si>
  <si>
    <t>Estadio Inca Garcilaso de la Vega</t>
  </si>
  <si>
    <t>Estadio Alberto Gallardo</t>
  </si>
  <si>
    <t>Complejo Deportivo Juan Pablo II</t>
  </si>
  <si>
    <t>Estadio Monumental UNSA</t>
  </si>
  <si>
    <t>Jornada 9</t>
  </si>
  <si>
    <t>Estadio Los Chankas</t>
  </si>
  <si>
    <t>Estadio Juan Maldonado Gamarra</t>
  </si>
  <si>
    <t>Estadio 25 de Noviembre</t>
  </si>
  <si>
    <t>Estadio Alejandro Villanueva</t>
  </si>
  <si>
    <t>Goles_Local</t>
  </si>
  <si>
    <t>Goles_Visita</t>
  </si>
  <si>
    <t>xG_Local</t>
  </si>
  <si>
    <t>xG_Visita</t>
  </si>
  <si>
    <t>Jornada 1</t>
  </si>
  <si>
    <t>Jornada 2</t>
  </si>
  <si>
    <t>Jornada 3</t>
  </si>
  <si>
    <t>Jornada 4</t>
  </si>
  <si>
    <t>Jornada 5</t>
  </si>
  <si>
    <t>Jornada 6</t>
  </si>
  <si>
    <t>Jornada 7</t>
  </si>
  <si>
    <t>Pos</t>
  </si>
  <si>
    <t>PJ</t>
  </si>
  <si>
    <t>PG</t>
  </si>
  <si>
    <t>PE</t>
  </si>
  <si>
    <t>PP</t>
  </si>
  <si>
    <t>GF</t>
  </si>
  <si>
    <t>GC</t>
  </si>
  <si>
    <t>DG</t>
  </si>
  <si>
    <t>Pts</t>
  </si>
  <si>
    <t>Rango</t>
  </si>
  <si>
    <t>Situación Actual</t>
  </si>
  <si>
    <t>Copa Libertadores (Fase de Grupos)</t>
  </si>
  <si>
    <t>Copa Libertadores (Pre-eliminatoria)</t>
  </si>
  <si>
    <t>Copa Sudamericana</t>
  </si>
  <si>
    <t>Zona Media</t>
  </si>
  <si>
    <t>Peligro de Descenso</t>
  </si>
  <si>
    <t>Zona de Riesgo Directo</t>
  </si>
  <si>
    <t>Zona de Descenso Directo</t>
  </si>
  <si>
    <t>Fecha</t>
  </si>
  <si>
    <t>Dia</t>
  </si>
  <si>
    <t>Viernes</t>
  </si>
  <si>
    <t>Sábado</t>
  </si>
  <si>
    <t>Domingo</t>
  </si>
  <si>
    <t>Estadio Miguel Grau</t>
  </si>
  <si>
    <t>Jornada 10</t>
  </si>
  <si>
    <t>Fecha 1</t>
  </si>
  <si>
    <t>3.259 msnm</t>
  </si>
  <si>
    <t>150 msnm</t>
  </si>
  <si>
    <t>1,23</t>
  </si>
  <si>
    <t>1,30</t>
  </si>
  <si>
    <t>2.750 msnm</t>
  </si>
  <si>
    <t>29 msnm</t>
  </si>
  <si>
    <t>1,67</t>
  </si>
  <si>
    <t>0,30</t>
  </si>
  <si>
    <t>5 msnm</t>
  </si>
  <si>
    <t>2.926 msnm</t>
  </si>
  <si>
    <t>0,90</t>
  </si>
  <si>
    <t>0,80</t>
  </si>
  <si>
    <t>209 msnm</t>
  </si>
  <si>
    <t>1,92</t>
  </si>
  <si>
    <t>1,80</t>
  </si>
  <si>
    <t>2.335 msnm</t>
  </si>
  <si>
    <t>3.399 msnm</t>
  </si>
  <si>
    <t>1,63</t>
  </si>
  <si>
    <t>1,24</t>
  </si>
  <si>
    <t>60 msnm</t>
  </si>
  <si>
    <t>0,91</t>
  </si>
  <si>
    <t>Universitario Deportes</t>
  </si>
  <si>
    <t>3.050 msnm</t>
  </si>
  <si>
    <t>1,41</t>
  </si>
  <si>
    <t>2.637 msnm</t>
  </si>
  <si>
    <t>1.410 msnm</t>
  </si>
  <si>
    <t>1,16</t>
  </si>
  <si>
    <t>Fecha 2</t>
  </si>
  <si>
    <t>1,54</t>
  </si>
  <si>
    <t>1,21</t>
  </si>
  <si>
    <t>0,40</t>
  </si>
  <si>
    <t>0,92</t>
  </si>
  <si>
    <t>1,19</t>
  </si>
  <si>
    <t>3,74</t>
  </si>
  <si>
    <t>1,18</t>
  </si>
  <si>
    <t>Fecha 3</t>
  </si>
  <si>
    <t>0,42</t>
  </si>
  <si>
    <t>0,41</t>
  </si>
  <si>
    <t>1,73</t>
  </si>
  <si>
    <t>2,63</t>
  </si>
  <si>
    <t>Fecha 4</t>
  </si>
  <si>
    <t>2,17</t>
  </si>
  <si>
    <t>1,70</t>
  </si>
  <si>
    <t>2,19</t>
  </si>
  <si>
    <t>2,24</t>
  </si>
  <si>
    <t>1,04</t>
  </si>
  <si>
    <t>Fecha 5</t>
  </si>
  <si>
    <t>1,13</t>
  </si>
  <si>
    <t>1,74</t>
  </si>
  <si>
    <t>0,68</t>
  </si>
  <si>
    <t>2,16</t>
  </si>
  <si>
    <t>1,42</t>
  </si>
  <si>
    <t>Fecha 6</t>
  </si>
  <si>
    <t>1,91</t>
  </si>
  <si>
    <t>Fecha 7</t>
  </si>
  <si>
    <t>2,30</t>
  </si>
  <si>
    <t>0,73</t>
  </si>
  <si>
    <t>0,63</t>
  </si>
  <si>
    <t>Fecha 8</t>
  </si>
  <si>
    <t>0,66</t>
  </si>
  <si>
    <t>1,90</t>
  </si>
  <si>
    <t>Fecha 9</t>
  </si>
  <si>
    <t>Fecha 10</t>
  </si>
  <si>
    <t>2,04</t>
  </si>
  <si>
    <t>0,71</t>
  </si>
  <si>
    <t>2,40</t>
  </si>
  <si>
    <t>2,42</t>
  </si>
  <si>
    <t>Fecha 11</t>
  </si>
  <si>
    <t>1,69</t>
  </si>
  <si>
    <t>4,42</t>
  </si>
  <si>
    <t>Fecha 12</t>
  </si>
  <si>
    <t>2,71</t>
  </si>
  <si>
    <t>Fecha 13</t>
  </si>
  <si>
    <t>2,41</t>
  </si>
  <si>
    <t>0,69</t>
  </si>
  <si>
    <t>Fecha 14</t>
  </si>
  <si>
    <t>Fecha 15</t>
  </si>
  <si>
    <t>0,74</t>
  </si>
  <si>
    <t>Fecha 16</t>
  </si>
  <si>
    <t>0,54</t>
  </si>
  <si>
    <t>Fecha 17</t>
  </si>
  <si>
    <t>2,74</t>
  </si>
  <si>
    <t>2,13</t>
  </si>
  <si>
    <t>Visitante</t>
  </si>
  <si>
    <t>GL</t>
  </si>
  <si>
    <t>GV</t>
  </si>
  <si>
    <t>Temporada</t>
  </si>
  <si>
    <t>PERÚ Liga 1</t>
  </si>
  <si>
    <t>Apertura 2023</t>
  </si>
  <si>
    <t>Fase II 2022</t>
  </si>
  <si>
    <t>Liga 1 2022</t>
  </si>
  <si>
    <t>Fase 2 2021</t>
  </si>
  <si>
    <t>Apertura 2020</t>
  </si>
  <si>
    <t>Clausura 2019</t>
  </si>
  <si>
    <t>Apertura 2019</t>
  </si>
  <si>
    <t>Clausura 2018</t>
  </si>
  <si>
    <t>Clausura 2023</t>
  </si>
  <si>
    <t>Primera División 2022 Clausura</t>
  </si>
  <si>
    <t>Primera División 2022 Apertura</t>
  </si>
  <si>
    <t>INT CF (Amistoso)</t>
  </si>
  <si>
    <t>tarjeta de circuito impreso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</si>
</sst>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21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CFC8FF-65BF-46C5-BA6F-FDF676811D8B}">
  <dimension ref="A1:E19"/>
  <sheetViews>
    <sheetView workbookViewId="0">
      <selection activeCell="A14" sqref="A14"/>
    </sheetView>
  </sheetViews>
  <sheetFormatPr baseColWidth="10" defaultRowHeight="14.4" x14ac:dyDescent="0.3"/>
  <cols>
    <col min="1" max="1" width="19.88671875" bestFit="1" customWidth="1"/>
    <col min="3" max="3" width="13.5546875" bestFit="1" customWidth="1"/>
    <col min="4" max="4" width="18" bestFit="1" customWidth="1"/>
    <col min="5" max="5" width="12.109375" bestFit="1" customWidth="1"/>
  </cols>
  <sheetData>
    <row r="1" spans="1:5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3">
      <c r="A2" t="s">
        <v>5</v>
      </c>
      <c r="B2" t="s">
        <v>6</v>
      </c>
      <c r="C2">
        <v>3050</v>
      </c>
      <c r="D2" t="s">
        <v>7</v>
      </c>
      <c r="E2" t="s">
        <v>8</v>
      </c>
    </row>
    <row r="3" spans="1:5" x14ac:dyDescent="0.3">
      <c r="A3" t="s">
        <v>9</v>
      </c>
      <c r="B3" t="s">
        <v>10</v>
      </c>
      <c r="C3">
        <v>50</v>
      </c>
      <c r="D3" t="s">
        <v>11</v>
      </c>
      <c r="E3" t="s">
        <v>8</v>
      </c>
    </row>
    <row r="4" spans="1:5" x14ac:dyDescent="0.3">
      <c r="A4" t="s">
        <v>12</v>
      </c>
      <c r="B4" t="s">
        <v>13</v>
      </c>
      <c r="C4">
        <v>150</v>
      </c>
      <c r="D4" t="s">
        <v>14</v>
      </c>
      <c r="E4" t="s">
        <v>8</v>
      </c>
    </row>
    <row r="5" spans="1:5" x14ac:dyDescent="0.3">
      <c r="A5" t="s">
        <v>15</v>
      </c>
      <c r="B5" t="s">
        <v>16</v>
      </c>
      <c r="C5">
        <v>50</v>
      </c>
      <c r="D5" t="s">
        <v>11</v>
      </c>
      <c r="E5" t="s">
        <v>8</v>
      </c>
    </row>
    <row r="6" spans="1:5" x14ac:dyDescent="0.3">
      <c r="A6" t="s">
        <v>17</v>
      </c>
      <c r="B6" t="s">
        <v>18</v>
      </c>
      <c r="C6">
        <v>3399</v>
      </c>
      <c r="D6" t="s">
        <v>7</v>
      </c>
      <c r="E6" t="s">
        <v>8</v>
      </c>
    </row>
    <row r="7" spans="1:5" x14ac:dyDescent="0.3">
      <c r="A7" t="s">
        <v>19</v>
      </c>
      <c r="B7" t="s">
        <v>20</v>
      </c>
      <c r="C7">
        <v>2620</v>
      </c>
      <c r="D7" t="s">
        <v>21</v>
      </c>
      <c r="E7" t="s">
        <v>22</v>
      </c>
    </row>
    <row r="8" spans="1:5" x14ac:dyDescent="0.3">
      <c r="A8" t="s">
        <v>23</v>
      </c>
      <c r="B8" t="s">
        <v>18</v>
      </c>
      <c r="C8">
        <v>3399</v>
      </c>
      <c r="D8" t="s">
        <v>7</v>
      </c>
      <c r="E8" t="s">
        <v>8</v>
      </c>
    </row>
    <row r="9" spans="1:5" x14ac:dyDescent="0.3">
      <c r="A9" t="s">
        <v>24</v>
      </c>
      <c r="B9" t="s">
        <v>25</v>
      </c>
      <c r="C9">
        <v>3259</v>
      </c>
      <c r="D9" t="s">
        <v>7</v>
      </c>
      <c r="E9" t="s">
        <v>8</v>
      </c>
    </row>
    <row r="10" spans="1:5" x14ac:dyDescent="0.3">
      <c r="A10" t="s">
        <v>26</v>
      </c>
      <c r="B10" t="s">
        <v>18</v>
      </c>
      <c r="C10">
        <v>3399</v>
      </c>
      <c r="D10" t="s">
        <v>7</v>
      </c>
      <c r="E10" t="s">
        <v>8</v>
      </c>
    </row>
    <row r="11" spans="1:5" x14ac:dyDescent="0.3">
      <c r="A11" t="s">
        <v>27</v>
      </c>
      <c r="B11" t="s">
        <v>28</v>
      </c>
      <c r="C11">
        <v>1410</v>
      </c>
      <c r="D11" t="s">
        <v>29</v>
      </c>
      <c r="E11" t="s">
        <v>8</v>
      </c>
    </row>
    <row r="12" spans="1:5" x14ac:dyDescent="0.3">
      <c r="A12" t="s">
        <v>30</v>
      </c>
      <c r="B12" t="s">
        <v>31</v>
      </c>
      <c r="C12">
        <v>2750</v>
      </c>
      <c r="D12" t="s">
        <v>21</v>
      </c>
      <c r="E12" t="s">
        <v>22</v>
      </c>
    </row>
    <row r="13" spans="1:5" x14ac:dyDescent="0.3">
      <c r="A13" t="s">
        <v>32</v>
      </c>
      <c r="B13" t="s">
        <v>33</v>
      </c>
      <c r="C13">
        <v>150</v>
      </c>
      <c r="D13" t="s">
        <v>34</v>
      </c>
      <c r="E13" t="s">
        <v>8</v>
      </c>
    </row>
    <row r="14" spans="1:5" x14ac:dyDescent="0.3">
      <c r="A14" t="s">
        <v>35</v>
      </c>
      <c r="B14" t="s">
        <v>36</v>
      </c>
      <c r="C14">
        <v>2920</v>
      </c>
      <c r="D14" t="s">
        <v>7</v>
      </c>
      <c r="E14" t="s">
        <v>8</v>
      </c>
    </row>
    <row r="15" spans="1:5" x14ac:dyDescent="0.3">
      <c r="A15" t="s">
        <v>37</v>
      </c>
      <c r="B15" t="s">
        <v>38</v>
      </c>
      <c r="C15">
        <v>2335</v>
      </c>
      <c r="D15" t="s">
        <v>21</v>
      </c>
      <c r="E15" t="s">
        <v>8</v>
      </c>
    </row>
    <row r="16" spans="1:5" x14ac:dyDescent="0.3">
      <c r="A16" t="s">
        <v>39</v>
      </c>
      <c r="B16" t="s">
        <v>40</v>
      </c>
      <c r="C16">
        <v>10</v>
      </c>
      <c r="D16" t="s">
        <v>41</v>
      </c>
      <c r="E16" t="s">
        <v>8</v>
      </c>
    </row>
    <row r="17" spans="1:5" x14ac:dyDescent="0.3">
      <c r="A17" t="s">
        <v>42</v>
      </c>
      <c r="B17" t="s">
        <v>13</v>
      </c>
      <c r="C17">
        <v>150</v>
      </c>
      <c r="D17" t="s">
        <v>14</v>
      </c>
      <c r="E17" t="s">
        <v>8</v>
      </c>
    </row>
    <row r="18" spans="1:5" x14ac:dyDescent="0.3">
      <c r="A18" t="s">
        <v>43</v>
      </c>
      <c r="B18" t="s">
        <v>13</v>
      </c>
      <c r="C18">
        <v>150</v>
      </c>
      <c r="D18" t="s">
        <v>14</v>
      </c>
      <c r="E18" t="s">
        <v>8</v>
      </c>
    </row>
    <row r="19" spans="1:5" x14ac:dyDescent="0.3">
      <c r="A19" t="s">
        <v>44</v>
      </c>
      <c r="B19" t="s">
        <v>31</v>
      </c>
      <c r="C19">
        <v>2750</v>
      </c>
      <c r="D19" t="s">
        <v>21</v>
      </c>
      <c r="E19" t="s">
        <v>22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6B765B-6A9C-48D0-8A54-733808D8C2D8}">
  <dimension ref="A1:M17"/>
  <sheetViews>
    <sheetView workbookViewId="0">
      <selection activeCell="F20" sqref="F20"/>
    </sheetView>
  </sheetViews>
  <sheetFormatPr baseColWidth="10" defaultRowHeight="14.4" x14ac:dyDescent="0.3"/>
  <cols>
    <col min="1" max="1" width="9.33203125" bestFit="1" customWidth="1"/>
    <col min="2" max="2" width="10.6640625" bestFit="1" customWidth="1"/>
    <col min="3" max="3" width="9" bestFit="1" customWidth="1"/>
    <col min="4" max="4" width="8.109375" bestFit="1" customWidth="1"/>
    <col min="5" max="6" width="19.88671875" bestFit="1" customWidth="1"/>
    <col min="7" max="7" width="30.6640625" bestFit="1" customWidth="1"/>
    <col min="8" max="8" width="12.33203125" bestFit="1" customWidth="1"/>
    <col min="9" max="9" width="12.5546875" bestFit="1" customWidth="1"/>
    <col min="10" max="10" width="13.109375" bestFit="1" customWidth="1"/>
    <col min="11" max="11" width="19.44140625" bestFit="1" customWidth="1"/>
    <col min="12" max="12" width="19.5546875" bestFit="1" customWidth="1"/>
    <col min="13" max="13" width="20.109375" bestFit="1" customWidth="1"/>
  </cols>
  <sheetData>
    <row r="1" spans="1:13" s="1" customFormat="1" x14ac:dyDescent="0.3">
      <c r="A1" s="1" t="s">
        <v>45</v>
      </c>
      <c r="B1" s="1" t="s">
        <v>97</v>
      </c>
      <c r="C1" s="1" t="s">
        <v>98</v>
      </c>
      <c r="D1" s="1" t="s">
        <v>46</v>
      </c>
      <c r="E1" s="1" t="s">
        <v>47</v>
      </c>
      <c r="F1" s="1" t="s">
        <v>48</v>
      </c>
      <c r="G1" s="1" t="s">
        <v>49</v>
      </c>
      <c r="H1" s="1" t="s">
        <v>1</v>
      </c>
      <c r="I1" s="1" t="s">
        <v>50</v>
      </c>
      <c r="J1" s="1" t="s">
        <v>51</v>
      </c>
      <c r="K1" s="1" t="s">
        <v>52</v>
      </c>
      <c r="L1" s="1" t="s">
        <v>53</v>
      </c>
      <c r="M1" s="1" t="s">
        <v>54</v>
      </c>
    </row>
    <row r="2" spans="1:13" x14ac:dyDescent="0.3">
      <c r="A2" t="s">
        <v>63</v>
      </c>
      <c r="B2" s="3">
        <v>46276</v>
      </c>
      <c r="C2" t="s">
        <v>99</v>
      </c>
      <c r="D2" s="2">
        <v>0.625</v>
      </c>
      <c r="E2" t="s">
        <v>44</v>
      </c>
      <c r="F2" t="s">
        <v>32</v>
      </c>
      <c r="G2" t="s">
        <v>56</v>
      </c>
      <c r="H2" t="s">
        <v>31</v>
      </c>
      <c r="I2">
        <v>2750</v>
      </c>
      <c r="J2">
        <v>150</v>
      </c>
      <c r="K2">
        <v>2600</v>
      </c>
      <c r="L2">
        <v>7</v>
      </c>
      <c r="M2">
        <v>7</v>
      </c>
    </row>
    <row r="3" spans="1:13" x14ac:dyDescent="0.3">
      <c r="A3" t="s">
        <v>63</v>
      </c>
      <c r="B3" s="3">
        <v>46276</v>
      </c>
      <c r="C3" t="s">
        <v>99</v>
      </c>
      <c r="D3" s="2">
        <v>0.79166666666666663</v>
      </c>
      <c r="E3" t="s">
        <v>23</v>
      </c>
      <c r="F3" t="s">
        <v>37</v>
      </c>
      <c r="G3" t="s">
        <v>59</v>
      </c>
      <c r="H3" t="s">
        <v>18</v>
      </c>
      <c r="I3">
        <v>3399</v>
      </c>
      <c r="J3">
        <v>2335</v>
      </c>
      <c r="K3">
        <v>1064</v>
      </c>
      <c r="L3">
        <v>7</v>
      </c>
      <c r="M3">
        <v>7</v>
      </c>
    </row>
    <row r="4" spans="1:13" x14ac:dyDescent="0.3">
      <c r="A4" t="s">
        <v>63</v>
      </c>
      <c r="B4" s="3">
        <v>46277</v>
      </c>
      <c r="C4" t="s">
        <v>100</v>
      </c>
      <c r="D4" s="2">
        <v>0.4375</v>
      </c>
      <c r="E4" t="s">
        <v>35</v>
      </c>
      <c r="F4" t="s">
        <v>30</v>
      </c>
      <c r="G4" t="s">
        <v>64</v>
      </c>
      <c r="H4" t="s">
        <v>36</v>
      </c>
      <c r="I4">
        <v>2920</v>
      </c>
      <c r="J4">
        <v>2750</v>
      </c>
      <c r="K4">
        <v>170</v>
      </c>
      <c r="L4">
        <v>7</v>
      </c>
      <c r="M4">
        <v>7</v>
      </c>
    </row>
    <row r="5" spans="1:13" x14ac:dyDescent="0.3">
      <c r="A5" t="s">
        <v>63</v>
      </c>
      <c r="B5" s="3">
        <v>46277</v>
      </c>
      <c r="C5" t="s">
        <v>100</v>
      </c>
      <c r="D5" s="2">
        <v>0.54166666666666663</v>
      </c>
      <c r="E5" t="s">
        <v>19</v>
      </c>
      <c r="F5" t="s">
        <v>24</v>
      </c>
      <c r="G5" t="s">
        <v>65</v>
      </c>
      <c r="H5" t="s">
        <v>20</v>
      </c>
      <c r="I5">
        <v>2620</v>
      </c>
      <c r="J5">
        <v>3259</v>
      </c>
      <c r="K5">
        <v>0</v>
      </c>
      <c r="L5">
        <v>7</v>
      </c>
      <c r="M5">
        <v>7</v>
      </c>
    </row>
    <row r="6" spans="1:13" x14ac:dyDescent="0.3">
      <c r="A6" t="s">
        <v>63</v>
      </c>
      <c r="B6" s="3">
        <v>46277</v>
      </c>
      <c r="C6" t="s">
        <v>100</v>
      </c>
      <c r="D6" s="2">
        <v>0.63541666666666663</v>
      </c>
      <c r="E6" t="s">
        <v>27</v>
      </c>
      <c r="F6" t="s">
        <v>42</v>
      </c>
      <c r="G6" t="s">
        <v>66</v>
      </c>
      <c r="H6" t="s">
        <v>28</v>
      </c>
      <c r="I6">
        <v>1410</v>
      </c>
      <c r="J6">
        <v>150</v>
      </c>
      <c r="K6">
        <v>1260</v>
      </c>
      <c r="L6">
        <v>7</v>
      </c>
      <c r="M6">
        <v>7</v>
      </c>
    </row>
    <row r="7" spans="1:13" x14ac:dyDescent="0.3">
      <c r="A7" t="s">
        <v>63</v>
      </c>
      <c r="B7" s="3">
        <v>46277</v>
      </c>
      <c r="C7" t="s">
        <v>100</v>
      </c>
      <c r="D7" s="2">
        <v>0.83333333333333337</v>
      </c>
      <c r="E7" t="s">
        <v>12</v>
      </c>
      <c r="F7" t="s">
        <v>43</v>
      </c>
      <c r="G7" t="s">
        <v>67</v>
      </c>
      <c r="H7" t="s">
        <v>13</v>
      </c>
      <c r="I7">
        <v>150</v>
      </c>
      <c r="J7">
        <v>150</v>
      </c>
      <c r="K7">
        <v>0</v>
      </c>
      <c r="L7">
        <v>7</v>
      </c>
      <c r="M7">
        <v>7</v>
      </c>
    </row>
    <row r="8" spans="1:13" x14ac:dyDescent="0.3">
      <c r="A8" t="s">
        <v>63</v>
      </c>
      <c r="B8" s="3">
        <v>46278</v>
      </c>
      <c r="C8" t="s">
        <v>101</v>
      </c>
      <c r="D8" s="2">
        <v>0.54166666666666663</v>
      </c>
      <c r="E8" t="s">
        <v>39</v>
      </c>
      <c r="F8" t="s">
        <v>26</v>
      </c>
      <c r="G8" t="s">
        <v>102</v>
      </c>
      <c r="H8" t="s">
        <v>40</v>
      </c>
      <c r="I8">
        <v>10</v>
      </c>
      <c r="J8">
        <v>3399</v>
      </c>
      <c r="K8">
        <v>0</v>
      </c>
      <c r="L8">
        <v>7</v>
      </c>
      <c r="M8">
        <v>7</v>
      </c>
    </row>
    <row r="9" spans="1:13" x14ac:dyDescent="0.3">
      <c r="A9" t="s">
        <v>63</v>
      </c>
      <c r="B9" s="3">
        <v>46278</v>
      </c>
      <c r="C9" t="s">
        <v>101</v>
      </c>
      <c r="D9" s="2">
        <v>0.63541666666666663</v>
      </c>
      <c r="E9" t="s">
        <v>15</v>
      </c>
      <c r="F9" t="s">
        <v>9</v>
      </c>
      <c r="G9" t="s">
        <v>57</v>
      </c>
      <c r="H9" t="s">
        <v>10</v>
      </c>
      <c r="I9">
        <v>50</v>
      </c>
      <c r="J9">
        <v>50</v>
      </c>
      <c r="K9">
        <v>0</v>
      </c>
      <c r="L9">
        <v>7</v>
      </c>
      <c r="M9">
        <v>7</v>
      </c>
    </row>
    <row r="10" spans="1:13" x14ac:dyDescent="0.3">
      <c r="A10" t="s">
        <v>103</v>
      </c>
      <c r="B10" s="3">
        <v>46283</v>
      </c>
      <c r="C10" t="s">
        <v>99</v>
      </c>
      <c r="D10" s="2">
        <v>0.625</v>
      </c>
      <c r="E10" t="s">
        <v>9</v>
      </c>
      <c r="F10" t="s">
        <v>19</v>
      </c>
      <c r="G10" t="s">
        <v>57</v>
      </c>
      <c r="H10" t="s">
        <v>10</v>
      </c>
      <c r="I10">
        <v>50</v>
      </c>
      <c r="J10">
        <v>2620</v>
      </c>
      <c r="K10">
        <v>0</v>
      </c>
      <c r="L10">
        <v>7</v>
      </c>
      <c r="M10">
        <v>7</v>
      </c>
    </row>
    <row r="11" spans="1:13" x14ac:dyDescent="0.3">
      <c r="A11" t="s">
        <v>103</v>
      </c>
      <c r="B11" s="3">
        <v>46283</v>
      </c>
      <c r="C11" t="s">
        <v>99</v>
      </c>
      <c r="D11" s="2">
        <v>0.83333333333333337</v>
      </c>
      <c r="E11" t="s">
        <v>12</v>
      </c>
      <c r="F11" t="s">
        <v>5</v>
      </c>
      <c r="G11" t="s">
        <v>67</v>
      </c>
      <c r="H11" t="s">
        <v>13</v>
      </c>
      <c r="I11">
        <v>150</v>
      </c>
      <c r="J11">
        <v>3050</v>
      </c>
      <c r="K11">
        <v>0</v>
      </c>
      <c r="L11">
        <v>7</v>
      </c>
      <c r="M11">
        <v>7</v>
      </c>
    </row>
    <row r="12" spans="1:13" x14ac:dyDescent="0.3">
      <c r="A12" t="s">
        <v>103</v>
      </c>
      <c r="B12" s="3">
        <v>46284</v>
      </c>
      <c r="C12" t="s">
        <v>100</v>
      </c>
      <c r="D12" s="2">
        <v>0.54166666666666663</v>
      </c>
      <c r="E12" t="s">
        <v>30</v>
      </c>
      <c r="F12" t="s">
        <v>23</v>
      </c>
      <c r="G12" t="s">
        <v>56</v>
      </c>
      <c r="H12" t="s">
        <v>31</v>
      </c>
      <c r="I12">
        <v>2750</v>
      </c>
      <c r="J12">
        <v>3399</v>
      </c>
      <c r="K12">
        <v>0</v>
      </c>
      <c r="L12">
        <v>7</v>
      </c>
      <c r="M12">
        <v>7</v>
      </c>
    </row>
    <row r="13" spans="1:13" x14ac:dyDescent="0.3">
      <c r="A13" t="s">
        <v>103</v>
      </c>
      <c r="B13" s="3">
        <v>46284</v>
      </c>
      <c r="C13" t="s">
        <v>100</v>
      </c>
      <c r="D13" s="2">
        <v>0.64583333333333337</v>
      </c>
      <c r="E13" t="s">
        <v>42</v>
      </c>
      <c r="F13" t="s">
        <v>15</v>
      </c>
      <c r="G13" t="s">
        <v>60</v>
      </c>
      <c r="H13" t="s">
        <v>13</v>
      </c>
      <c r="I13">
        <v>150</v>
      </c>
      <c r="J13">
        <v>50</v>
      </c>
      <c r="K13">
        <v>100</v>
      </c>
      <c r="L13">
        <v>7</v>
      </c>
      <c r="M13">
        <v>7</v>
      </c>
    </row>
    <row r="14" spans="1:13" x14ac:dyDescent="0.3">
      <c r="A14" t="s">
        <v>103</v>
      </c>
      <c r="B14" s="3">
        <v>46284</v>
      </c>
      <c r="C14" t="s">
        <v>100</v>
      </c>
      <c r="D14" s="2">
        <v>0.75</v>
      </c>
      <c r="E14" t="s">
        <v>26</v>
      </c>
      <c r="F14" t="s">
        <v>43</v>
      </c>
      <c r="G14" t="s">
        <v>59</v>
      </c>
      <c r="H14" t="s">
        <v>18</v>
      </c>
      <c r="I14">
        <v>3399</v>
      </c>
      <c r="J14">
        <v>150</v>
      </c>
      <c r="K14">
        <v>3249</v>
      </c>
      <c r="L14">
        <v>7</v>
      </c>
      <c r="M14">
        <v>7</v>
      </c>
    </row>
    <row r="15" spans="1:13" x14ac:dyDescent="0.3">
      <c r="A15" t="s">
        <v>103</v>
      </c>
      <c r="B15" s="3">
        <v>46284</v>
      </c>
      <c r="C15" t="s">
        <v>100</v>
      </c>
      <c r="D15" s="2">
        <v>0.84375</v>
      </c>
      <c r="E15" t="s">
        <v>37</v>
      </c>
      <c r="F15" t="s">
        <v>39</v>
      </c>
      <c r="G15" t="s">
        <v>62</v>
      </c>
      <c r="H15" t="s">
        <v>38</v>
      </c>
      <c r="I15">
        <v>2335</v>
      </c>
      <c r="J15">
        <v>10</v>
      </c>
      <c r="K15">
        <v>2325</v>
      </c>
      <c r="L15">
        <v>7</v>
      </c>
      <c r="M15">
        <v>7</v>
      </c>
    </row>
    <row r="16" spans="1:13" x14ac:dyDescent="0.3">
      <c r="A16" t="s">
        <v>103</v>
      </c>
      <c r="B16" s="3">
        <v>46285</v>
      </c>
      <c r="C16" t="s">
        <v>101</v>
      </c>
      <c r="D16" s="2">
        <v>0.54166666666666663</v>
      </c>
      <c r="E16" t="s">
        <v>24</v>
      </c>
      <c r="F16" t="s">
        <v>44</v>
      </c>
      <c r="G16" t="s">
        <v>58</v>
      </c>
      <c r="H16" t="s">
        <v>25</v>
      </c>
      <c r="I16">
        <v>3259</v>
      </c>
      <c r="J16">
        <v>2750</v>
      </c>
      <c r="K16">
        <v>509</v>
      </c>
      <c r="L16">
        <v>7</v>
      </c>
      <c r="M16">
        <v>7</v>
      </c>
    </row>
    <row r="17" spans="1:13" x14ac:dyDescent="0.3">
      <c r="A17" t="s">
        <v>103</v>
      </c>
      <c r="B17" s="3">
        <v>46285</v>
      </c>
      <c r="C17" t="s">
        <v>101</v>
      </c>
      <c r="D17" s="2">
        <v>0.64583333333333337</v>
      </c>
      <c r="E17" t="s">
        <v>32</v>
      </c>
      <c r="F17" t="s">
        <v>27</v>
      </c>
      <c r="G17" t="s">
        <v>61</v>
      </c>
      <c r="H17" t="s">
        <v>33</v>
      </c>
      <c r="I17">
        <v>150</v>
      </c>
      <c r="J17">
        <v>1410</v>
      </c>
      <c r="K17">
        <v>0</v>
      </c>
      <c r="L17">
        <v>7</v>
      </c>
      <c r="M17">
        <v>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A2CD5-28AF-4CFF-80C1-7C7E520E595B}">
  <sheetPr filterMode="1"/>
  <dimension ref="A1:J154"/>
  <sheetViews>
    <sheetView workbookViewId="0">
      <pane ySplit="1" topLeftCell="A2" activePane="bottomLeft" state="frozen"/>
      <selection pane="bottomLeft" activeCell="B119" sqref="B119"/>
    </sheetView>
  </sheetViews>
  <sheetFormatPr baseColWidth="10" defaultRowHeight="14.4" x14ac:dyDescent="0.3"/>
  <cols>
    <col min="1" max="1" width="9.33203125" bestFit="1" customWidth="1"/>
    <col min="2" max="2" width="19.88671875" bestFit="1" customWidth="1"/>
    <col min="3" max="3" width="11.5546875" bestFit="1" customWidth="1"/>
    <col min="4" max="4" width="12.109375" bestFit="1" customWidth="1"/>
    <col min="5" max="5" width="19.88671875" bestFit="1" customWidth="1"/>
    <col min="6" max="6" width="12.33203125" bestFit="1" customWidth="1"/>
    <col min="7" max="7" width="12.5546875" bestFit="1" customWidth="1"/>
    <col min="8" max="8" width="13.109375" bestFit="1" customWidth="1"/>
    <col min="9" max="9" width="8.88671875" bestFit="1" customWidth="1"/>
    <col min="10" max="10" width="9.44140625" bestFit="1" customWidth="1"/>
  </cols>
  <sheetData>
    <row r="1" spans="1:10" s="1" customFormat="1" x14ac:dyDescent="0.3">
      <c r="A1" s="1" t="s">
        <v>45</v>
      </c>
      <c r="B1" s="1" t="s">
        <v>47</v>
      </c>
      <c r="C1" s="1" t="s">
        <v>68</v>
      </c>
      <c r="D1" s="1" t="s">
        <v>69</v>
      </c>
      <c r="E1" s="1" t="s">
        <v>48</v>
      </c>
      <c r="F1" s="1" t="s">
        <v>1</v>
      </c>
      <c r="G1" s="1" t="s">
        <v>50</v>
      </c>
      <c r="H1" s="1" t="s">
        <v>51</v>
      </c>
      <c r="I1" s="1" t="s">
        <v>70</v>
      </c>
      <c r="J1" s="1" t="s">
        <v>71</v>
      </c>
    </row>
    <row r="2" spans="1:10" hidden="1" x14ac:dyDescent="0.3">
      <c r="A2" t="s">
        <v>104</v>
      </c>
      <c r="B2" t="s">
        <v>24</v>
      </c>
      <c r="C2">
        <v>1</v>
      </c>
      <c r="D2">
        <v>2</v>
      </c>
      <c r="E2" t="s">
        <v>12</v>
      </c>
      <c r="F2" t="s">
        <v>25</v>
      </c>
      <c r="G2" t="s">
        <v>105</v>
      </c>
      <c r="H2" t="s">
        <v>106</v>
      </c>
      <c r="I2" t="s">
        <v>107</v>
      </c>
      <c r="J2" t="s">
        <v>108</v>
      </c>
    </row>
    <row r="3" spans="1:10" x14ac:dyDescent="0.3">
      <c r="A3" t="s">
        <v>104</v>
      </c>
      <c r="B3" t="s">
        <v>44</v>
      </c>
      <c r="C3">
        <v>2</v>
      </c>
      <c r="D3">
        <v>0</v>
      </c>
      <c r="E3" t="s">
        <v>15</v>
      </c>
      <c r="F3" t="s">
        <v>31</v>
      </c>
      <c r="G3" t="s">
        <v>109</v>
      </c>
      <c r="H3" t="s">
        <v>110</v>
      </c>
      <c r="I3" t="s">
        <v>111</v>
      </c>
      <c r="J3" t="s">
        <v>112</v>
      </c>
    </row>
    <row r="4" spans="1:10" hidden="1" x14ac:dyDescent="0.3">
      <c r="A4" t="s">
        <v>104</v>
      </c>
      <c r="B4" t="s">
        <v>39</v>
      </c>
      <c r="C4">
        <v>1</v>
      </c>
      <c r="D4">
        <v>1</v>
      </c>
      <c r="E4" t="s">
        <v>35</v>
      </c>
      <c r="F4" t="s">
        <v>40</v>
      </c>
      <c r="G4" t="s">
        <v>113</v>
      </c>
      <c r="H4" t="s">
        <v>114</v>
      </c>
      <c r="I4" t="s">
        <v>115</v>
      </c>
      <c r="J4" t="s">
        <v>116</v>
      </c>
    </row>
    <row r="5" spans="1:10" hidden="1" x14ac:dyDescent="0.3">
      <c r="A5" t="s">
        <v>104</v>
      </c>
      <c r="B5" t="s">
        <v>32</v>
      </c>
      <c r="C5">
        <v>3</v>
      </c>
      <c r="D5">
        <v>3</v>
      </c>
      <c r="E5" t="s">
        <v>30</v>
      </c>
      <c r="F5" t="s">
        <v>33</v>
      </c>
      <c r="G5" t="s">
        <v>117</v>
      </c>
      <c r="H5" t="s">
        <v>109</v>
      </c>
      <c r="I5" t="s">
        <v>118</v>
      </c>
      <c r="J5" t="s">
        <v>119</v>
      </c>
    </row>
    <row r="6" spans="1:10" hidden="1" x14ac:dyDescent="0.3">
      <c r="A6" t="s">
        <v>104</v>
      </c>
      <c r="B6" t="s">
        <v>37</v>
      </c>
      <c r="C6">
        <v>2</v>
      </c>
      <c r="D6">
        <v>0</v>
      </c>
      <c r="E6" t="s">
        <v>17</v>
      </c>
      <c r="F6" t="s">
        <v>38</v>
      </c>
      <c r="G6" t="s">
        <v>120</v>
      </c>
      <c r="H6" t="s">
        <v>121</v>
      </c>
      <c r="I6" t="s">
        <v>122</v>
      </c>
      <c r="J6" t="s">
        <v>112</v>
      </c>
    </row>
    <row r="7" spans="1:10" hidden="1" x14ac:dyDescent="0.3">
      <c r="A7" t="s">
        <v>104</v>
      </c>
      <c r="B7" t="s">
        <v>26</v>
      </c>
      <c r="C7">
        <v>1</v>
      </c>
      <c r="D7">
        <v>1</v>
      </c>
      <c r="E7" t="s">
        <v>42</v>
      </c>
      <c r="F7" t="s">
        <v>18</v>
      </c>
      <c r="G7" t="s">
        <v>121</v>
      </c>
      <c r="H7" t="s">
        <v>106</v>
      </c>
      <c r="I7" t="s">
        <v>123</v>
      </c>
      <c r="J7" t="s">
        <v>116</v>
      </c>
    </row>
    <row r="8" spans="1:10" hidden="1" x14ac:dyDescent="0.3">
      <c r="A8" t="s">
        <v>104</v>
      </c>
      <c r="B8" t="s">
        <v>9</v>
      </c>
      <c r="C8">
        <v>1</v>
      </c>
      <c r="D8">
        <v>0</v>
      </c>
      <c r="E8" t="s">
        <v>23</v>
      </c>
      <c r="F8" t="s">
        <v>10</v>
      </c>
      <c r="G8" t="s">
        <v>124</v>
      </c>
      <c r="H8" t="s">
        <v>121</v>
      </c>
      <c r="I8" t="s">
        <v>125</v>
      </c>
      <c r="J8" t="s">
        <v>112</v>
      </c>
    </row>
    <row r="9" spans="1:10" hidden="1" x14ac:dyDescent="0.3">
      <c r="A9" t="s">
        <v>104</v>
      </c>
      <c r="B9" t="s">
        <v>126</v>
      </c>
      <c r="C9">
        <v>2</v>
      </c>
      <c r="D9">
        <v>0</v>
      </c>
      <c r="E9" t="s">
        <v>5</v>
      </c>
      <c r="F9" t="s">
        <v>13</v>
      </c>
      <c r="G9" t="s">
        <v>106</v>
      </c>
      <c r="H9" t="s">
        <v>127</v>
      </c>
      <c r="I9" t="s">
        <v>128</v>
      </c>
      <c r="J9" t="s">
        <v>112</v>
      </c>
    </row>
    <row r="10" spans="1:10" hidden="1" x14ac:dyDescent="0.3">
      <c r="A10" t="s">
        <v>104</v>
      </c>
      <c r="B10" t="s">
        <v>19</v>
      </c>
      <c r="C10">
        <v>1</v>
      </c>
      <c r="D10">
        <v>0</v>
      </c>
      <c r="E10" t="s">
        <v>27</v>
      </c>
      <c r="F10" t="s">
        <v>20</v>
      </c>
      <c r="G10" t="s">
        <v>129</v>
      </c>
      <c r="H10" t="s">
        <v>130</v>
      </c>
      <c r="I10" t="s">
        <v>131</v>
      </c>
      <c r="J10" t="s">
        <v>112</v>
      </c>
    </row>
    <row r="11" spans="1:10" hidden="1" x14ac:dyDescent="0.3">
      <c r="A11" t="s">
        <v>132</v>
      </c>
      <c r="B11" t="s">
        <v>27</v>
      </c>
      <c r="C11">
        <v>2</v>
      </c>
      <c r="D11">
        <v>3</v>
      </c>
      <c r="E11" t="s">
        <v>44</v>
      </c>
      <c r="F11" t="s">
        <v>28</v>
      </c>
      <c r="G11" t="s">
        <v>130</v>
      </c>
      <c r="H11" t="s">
        <v>109</v>
      </c>
      <c r="I11" t="s">
        <v>133</v>
      </c>
      <c r="J11" t="s">
        <v>119</v>
      </c>
    </row>
    <row r="12" spans="1:10" hidden="1" x14ac:dyDescent="0.3">
      <c r="A12" t="s">
        <v>132</v>
      </c>
      <c r="B12" t="s">
        <v>5</v>
      </c>
      <c r="C12">
        <v>1</v>
      </c>
      <c r="D12">
        <v>0</v>
      </c>
      <c r="E12" t="s">
        <v>39</v>
      </c>
      <c r="F12" t="s">
        <v>6</v>
      </c>
      <c r="G12" t="s">
        <v>127</v>
      </c>
      <c r="H12" t="s">
        <v>113</v>
      </c>
      <c r="I12" t="s">
        <v>134</v>
      </c>
      <c r="J12" t="s">
        <v>112</v>
      </c>
    </row>
    <row r="13" spans="1:10" hidden="1" x14ac:dyDescent="0.3">
      <c r="A13" t="s">
        <v>132</v>
      </c>
      <c r="B13" t="s">
        <v>15</v>
      </c>
      <c r="C13">
        <v>0</v>
      </c>
      <c r="D13">
        <v>0</v>
      </c>
      <c r="E13" t="s">
        <v>24</v>
      </c>
      <c r="F13" t="s">
        <v>16</v>
      </c>
      <c r="G13" t="s">
        <v>110</v>
      </c>
      <c r="H13" t="s">
        <v>105</v>
      </c>
      <c r="I13" t="s">
        <v>135</v>
      </c>
      <c r="J13" t="s">
        <v>112</v>
      </c>
    </row>
    <row r="14" spans="1:10" hidden="1" x14ac:dyDescent="0.3">
      <c r="A14" t="s">
        <v>132</v>
      </c>
      <c r="B14" t="s">
        <v>23</v>
      </c>
      <c r="C14">
        <v>1</v>
      </c>
      <c r="D14">
        <v>1</v>
      </c>
      <c r="E14" t="s">
        <v>126</v>
      </c>
      <c r="F14" t="s">
        <v>18</v>
      </c>
      <c r="G14" t="s">
        <v>121</v>
      </c>
      <c r="H14" t="s">
        <v>106</v>
      </c>
      <c r="I14" t="s">
        <v>123</v>
      </c>
      <c r="J14" t="s">
        <v>116</v>
      </c>
    </row>
    <row r="15" spans="1:10" hidden="1" x14ac:dyDescent="0.3">
      <c r="A15" t="s">
        <v>132</v>
      </c>
      <c r="B15" t="s">
        <v>42</v>
      </c>
      <c r="C15">
        <v>1</v>
      </c>
      <c r="D15">
        <v>2</v>
      </c>
      <c r="E15" t="s">
        <v>37</v>
      </c>
      <c r="F15" t="s">
        <v>13</v>
      </c>
      <c r="G15" t="s">
        <v>106</v>
      </c>
      <c r="H15" t="s">
        <v>120</v>
      </c>
      <c r="I15" t="s">
        <v>136</v>
      </c>
      <c r="J15" t="s">
        <v>108</v>
      </c>
    </row>
    <row r="16" spans="1:10" hidden="1" x14ac:dyDescent="0.3">
      <c r="A16" t="s">
        <v>132</v>
      </c>
      <c r="B16" t="s">
        <v>35</v>
      </c>
      <c r="C16">
        <v>1</v>
      </c>
      <c r="D16">
        <v>0</v>
      </c>
      <c r="E16" t="s">
        <v>9</v>
      </c>
      <c r="F16" t="s">
        <v>36</v>
      </c>
      <c r="G16" t="s">
        <v>114</v>
      </c>
      <c r="H16" t="s">
        <v>124</v>
      </c>
      <c r="I16" t="s">
        <v>137</v>
      </c>
      <c r="J16" t="s">
        <v>112</v>
      </c>
    </row>
    <row r="17" spans="1:10" hidden="1" x14ac:dyDescent="0.3">
      <c r="A17" t="s">
        <v>132</v>
      </c>
      <c r="B17" t="s">
        <v>17</v>
      </c>
      <c r="C17">
        <v>6</v>
      </c>
      <c r="D17">
        <v>1</v>
      </c>
      <c r="E17" t="s">
        <v>32</v>
      </c>
      <c r="F17" t="s">
        <v>18</v>
      </c>
      <c r="G17" t="s">
        <v>121</v>
      </c>
      <c r="H17" t="s">
        <v>117</v>
      </c>
      <c r="I17" t="s">
        <v>138</v>
      </c>
      <c r="J17" t="s">
        <v>116</v>
      </c>
    </row>
    <row r="18" spans="1:10" hidden="1" x14ac:dyDescent="0.3">
      <c r="A18" t="s">
        <v>132</v>
      </c>
      <c r="B18" t="s">
        <v>12</v>
      </c>
      <c r="C18">
        <v>2</v>
      </c>
      <c r="D18">
        <v>1</v>
      </c>
      <c r="E18" t="s">
        <v>19</v>
      </c>
      <c r="F18" t="s">
        <v>13</v>
      </c>
      <c r="G18" t="s">
        <v>106</v>
      </c>
      <c r="H18" t="s">
        <v>129</v>
      </c>
      <c r="I18" t="s">
        <v>128</v>
      </c>
      <c r="J18" t="s">
        <v>116</v>
      </c>
    </row>
    <row r="19" spans="1:10" hidden="1" x14ac:dyDescent="0.3">
      <c r="A19" t="s">
        <v>132</v>
      </c>
      <c r="B19" t="s">
        <v>30</v>
      </c>
      <c r="C19">
        <v>1</v>
      </c>
      <c r="D19">
        <v>1</v>
      </c>
      <c r="E19" t="s">
        <v>26</v>
      </c>
      <c r="F19" t="s">
        <v>31</v>
      </c>
      <c r="G19" t="s">
        <v>109</v>
      </c>
      <c r="H19" t="s">
        <v>121</v>
      </c>
      <c r="I19" t="s">
        <v>139</v>
      </c>
      <c r="J19" t="s">
        <v>116</v>
      </c>
    </row>
    <row r="20" spans="1:10" x14ac:dyDescent="0.3">
      <c r="A20" t="s">
        <v>140</v>
      </c>
      <c r="B20" t="s">
        <v>44</v>
      </c>
      <c r="C20">
        <v>1</v>
      </c>
      <c r="D20">
        <v>0</v>
      </c>
      <c r="E20" t="s">
        <v>23</v>
      </c>
      <c r="F20" t="s">
        <v>31</v>
      </c>
      <c r="G20" t="s">
        <v>109</v>
      </c>
      <c r="H20" t="s">
        <v>121</v>
      </c>
      <c r="I20" t="s">
        <v>139</v>
      </c>
      <c r="J20" t="s">
        <v>112</v>
      </c>
    </row>
    <row r="21" spans="1:10" hidden="1" x14ac:dyDescent="0.3">
      <c r="A21" t="s">
        <v>140</v>
      </c>
      <c r="B21" t="s">
        <v>126</v>
      </c>
      <c r="C21">
        <v>2</v>
      </c>
      <c r="D21">
        <v>1</v>
      </c>
      <c r="E21" t="s">
        <v>17</v>
      </c>
      <c r="F21" t="s">
        <v>13</v>
      </c>
      <c r="G21" t="s">
        <v>106</v>
      </c>
      <c r="H21" t="s">
        <v>121</v>
      </c>
      <c r="I21" t="s">
        <v>128</v>
      </c>
      <c r="J21" t="s">
        <v>116</v>
      </c>
    </row>
    <row r="22" spans="1:10" hidden="1" x14ac:dyDescent="0.3">
      <c r="A22" t="s">
        <v>140</v>
      </c>
      <c r="B22" t="s">
        <v>26</v>
      </c>
      <c r="C22">
        <v>1</v>
      </c>
      <c r="D22">
        <v>0</v>
      </c>
      <c r="E22" t="s">
        <v>5</v>
      </c>
      <c r="F22" t="s">
        <v>18</v>
      </c>
      <c r="G22" t="s">
        <v>121</v>
      </c>
      <c r="H22" t="s">
        <v>127</v>
      </c>
      <c r="I22" t="s">
        <v>123</v>
      </c>
      <c r="J22" t="s">
        <v>112</v>
      </c>
    </row>
    <row r="23" spans="1:10" hidden="1" x14ac:dyDescent="0.3">
      <c r="A23" t="s">
        <v>140</v>
      </c>
      <c r="B23" t="s">
        <v>32</v>
      </c>
      <c r="C23">
        <v>0</v>
      </c>
      <c r="D23">
        <v>2</v>
      </c>
      <c r="E23" t="s">
        <v>42</v>
      </c>
      <c r="F23" t="s">
        <v>33</v>
      </c>
      <c r="G23" t="s">
        <v>117</v>
      </c>
      <c r="H23" t="s">
        <v>106</v>
      </c>
      <c r="I23" t="s">
        <v>141</v>
      </c>
      <c r="J23" t="s">
        <v>108</v>
      </c>
    </row>
    <row r="24" spans="1:10" hidden="1" x14ac:dyDescent="0.3">
      <c r="A24" t="s">
        <v>140</v>
      </c>
      <c r="B24" t="s">
        <v>39</v>
      </c>
      <c r="C24">
        <v>1</v>
      </c>
      <c r="D24">
        <v>0</v>
      </c>
      <c r="E24" t="s">
        <v>15</v>
      </c>
      <c r="F24" t="s">
        <v>40</v>
      </c>
      <c r="G24" t="s">
        <v>113</v>
      </c>
      <c r="H24" t="s">
        <v>110</v>
      </c>
      <c r="I24" t="s">
        <v>115</v>
      </c>
      <c r="J24" t="s">
        <v>112</v>
      </c>
    </row>
    <row r="25" spans="1:10" hidden="1" x14ac:dyDescent="0.3">
      <c r="A25" t="s">
        <v>140</v>
      </c>
      <c r="B25" t="s">
        <v>9</v>
      </c>
      <c r="C25">
        <v>0</v>
      </c>
      <c r="D25">
        <v>0</v>
      </c>
      <c r="E25" t="s">
        <v>12</v>
      </c>
      <c r="F25" t="s">
        <v>10</v>
      </c>
      <c r="G25" t="s">
        <v>124</v>
      </c>
      <c r="H25" t="s">
        <v>106</v>
      </c>
      <c r="I25" t="s">
        <v>142</v>
      </c>
      <c r="J25" t="s">
        <v>112</v>
      </c>
    </row>
    <row r="26" spans="1:10" hidden="1" x14ac:dyDescent="0.3">
      <c r="A26" t="s">
        <v>140</v>
      </c>
      <c r="B26" t="s">
        <v>24</v>
      </c>
      <c r="C26">
        <v>2</v>
      </c>
      <c r="D26">
        <v>0</v>
      </c>
      <c r="E26" t="s">
        <v>30</v>
      </c>
      <c r="F26" t="s">
        <v>25</v>
      </c>
      <c r="G26" t="s">
        <v>105</v>
      </c>
      <c r="H26" t="s">
        <v>109</v>
      </c>
      <c r="I26" t="s">
        <v>143</v>
      </c>
      <c r="J26" t="s">
        <v>112</v>
      </c>
    </row>
    <row r="27" spans="1:10" hidden="1" x14ac:dyDescent="0.3">
      <c r="A27" t="s">
        <v>140</v>
      </c>
      <c r="B27" t="s">
        <v>19</v>
      </c>
      <c r="C27">
        <v>1</v>
      </c>
      <c r="D27">
        <v>1</v>
      </c>
      <c r="E27" t="s">
        <v>35</v>
      </c>
      <c r="F27" t="s">
        <v>20</v>
      </c>
      <c r="G27" t="s">
        <v>129</v>
      </c>
      <c r="H27" t="s">
        <v>114</v>
      </c>
      <c r="I27" t="s">
        <v>131</v>
      </c>
      <c r="J27" t="s">
        <v>116</v>
      </c>
    </row>
    <row r="28" spans="1:10" hidden="1" x14ac:dyDescent="0.3">
      <c r="A28" t="s">
        <v>140</v>
      </c>
      <c r="B28" t="s">
        <v>37</v>
      </c>
      <c r="C28">
        <v>4</v>
      </c>
      <c r="D28">
        <v>0</v>
      </c>
      <c r="E28" t="s">
        <v>27</v>
      </c>
      <c r="F28" t="s">
        <v>38</v>
      </c>
      <c r="G28" t="s">
        <v>120</v>
      </c>
      <c r="H28" t="s">
        <v>130</v>
      </c>
      <c r="I28" t="s">
        <v>144</v>
      </c>
      <c r="J28" t="s">
        <v>112</v>
      </c>
    </row>
    <row r="29" spans="1:10" hidden="1" x14ac:dyDescent="0.3">
      <c r="A29" t="s">
        <v>145</v>
      </c>
      <c r="B29" t="s">
        <v>12</v>
      </c>
      <c r="C29">
        <v>1</v>
      </c>
      <c r="D29">
        <v>0</v>
      </c>
      <c r="E29" t="s">
        <v>39</v>
      </c>
      <c r="F29" t="s">
        <v>13</v>
      </c>
      <c r="G29" t="s">
        <v>106</v>
      </c>
      <c r="H29" t="s">
        <v>113</v>
      </c>
      <c r="I29" t="s">
        <v>136</v>
      </c>
      <c r="J29" t="s">
        <v>112</v>
      </c>
    </row>
    <row r="30" spans="1:10" hidden="1" x14ac:dyDescent="0.3">
      <c r="A30" t="s">
        <v>145</v>
      </c>
      <c r="B30" t="s">
        <v>30</v>
      </c>
      <c r="C30">
        <v>3</v>
      </c>
      <c r="D30">
        <v>1</v>
      </c>
      <c r="E30" t="s">
        <v>37</v>
      </c>
      <c r="F30" t="s">
        <v>31</v>
      </c>
      <c r="G30" t="s">
        <v>109</v>
      </c>
      <c r="H30" t="s">
        <v>120</v>
      </c>
      <c r="I30" t="s">
        <v>146</v>
      </c>
      <c r="J30" t="s">
        <v>116</v>
      </c>
    </row>
    <row r="31" spans="1:10" hidden="1" x14ac:dyDescent="0.3">
      <c r="A31" t="s">
        <v>145</v>
      </c>
      <c r="B31" t="s">
        <v>42</v>
      </c>
      <c r="C31">
        <v>2</v>
      </c>
      <c r="D31">
        <v>2</v>
      </c>
      <c r="E31" t="s">
        <v>126</v>
      </c>
      <c r="F31" t="s">
        <v>13</v>
      </c>
      <c r="G31" t="s">
        <v>106</v>
      </c>
      <c r="H31" t="s">
        <v>106</v>
      </c>
      <c r="I31" t="s">
        <v>128</v>
      </c>
      <c r="J31" t="s">
        <v>108</v>
      </c>
    </row>
    <row r="32" spans="1:10" hidden="1" x14ac:dyDescent="0.3">
      <c r="A32" t="s">
        <v>145</v>
      </c>
      <c r="B32" t="s">
        <v>17</v>
      </c>
      <c r="C32">
        <v>1</v>
      </c>
      <c r="D32">
        <v>1</v>
      </c>
      <c r="E32" t="s">
        <v>9</v>
      </c>
      <c r="F32" t="s">
        <v>18</v>
      </c>
      <c r="G32" t="s">
        <v>121</v>
      </c>
      <c r="H32" t="s">
        <v>124</v>
      </c>
      <c r="I32" t="s">
        <v>123</v>
      </c>
      <c r="J32" t="s">
        <v>116</v>
      </c>
    </row>
    <row r="33" spans="1:10" hidden="1" x14ac:dyDescent="0.3">
      <c r="A33" t="s">
        <v>145</v>
      </c>
      <c r="B33" t="s">
        <v>5</v>
      </c>
      <c r="C33">
        <v>2</v>
      </c>
      <c r="D33">
        <v>2</v>
      </c>
      <c r="E33" t="s">
        <v>44</v>
      </c>
      <c r="F33" t="s">
        <v>6</v>
      </c>
      <c r="G33" t="s">
        <v>127</v>
      </c>
      <c r="H33" t="s">
        <v>109</v>
      </c>
      <c r="I33" t="s">
        <v>147</v>
      </c>
      <c r="J33" t="s">
        <v>108</v>
      </c>
    </row>
    <row r="34" spans="1:10" hidden="1" x14ac:dyDescent="0.3">
      <c r="A34" t="s">
        <v>145</v>
      </c>
      <c r="B34" t="s">
        <v>35</v>
      </c>
      <c r="C34">
        <v>3</v>
      </c>
      <c r="D34">
        <v>2</v>
      </c>
      <c r="E34" t="s">
        <v>24</v>
      </c>
      <c r="F34" t="s">
        <v>36</v>
      </c>
      <c r="G34" t="s">
        <v>114</v>
      </c>
      <c r="H34" t="s">
        <v>105</v>
      </c>
      <c r="I34" t="s">
        <v>148</v>
      </c>
      <c r="J34" t="s">
        <v>108</v>
      </c>
    </row>
    <row r="35" spans="1:10" hidden="1" x14ac:dyDescent="0.3">
      <c r="A35" t="s">
        <v>145</v>
      </c>
      <c r="B35" t="s">
        <v>15</v>
      </c>
      <c r="C35">
        <v>1</v>
      </c>
      <c r="D35">
        <v>2</v>
      </c>
      <c r="E35" t="s">
        <v>32</v>
      </c>
      <c r="F35" t="s">
        <v>16</v>
      </c>
      <c r="G35" t="s">
        <v>110</v>
      </c>
      <c r="H35" t="s">
        <v>117</v>
      </c>
      <c r="I35" t="s">
        <v>115</v>
      </c>
      <c r="J35" t="s">
        <v>108</v>
      </c>
    </row>
    <row r="36" spans="1:10" hidden="1" x14ac:dyDescent="0.3">
      <c r="A36" t="s">
        <v>145</v>
      </c>
      <c r="B36" t="s">
        <v>23</v>
      </c>
      <c r="C36">
        <v>3</v>
      </c>
      <c r="D36">
        <v>1</v>
      </c>
      <c r="E36" t="s">
        <v>19</v>
      </c>
      <c r="F36" t="s">
        <v>18</v>
      </c>
      <c r="G36" t="s">
        <v>121</v>
      </c>
      <c r="H36" t="s">
        <v>129</v>
      </c>
      <c r="I36" t="s">
        <v>149</v>
      </c>
      <c r="J36" t="s">
        <v>116</v>
      </c>
    </row>
    <row r="37" spans="1:10" hidden="1" x14ac:dyDescent="0.3">
      <c r="A37" t="s">
        <v>145</v>
      </c>
      <c r="B37" t="s">
        <v>27</v>
      </c>
      <c r="C37">
        <v>1</v>
      </c>
      <c r="D37">
        <v>0</v>
      </c>
      <c r="E37" t="s">
        <v>26</v>
      </c>
      <c r="F37" t="s">
        <v>28</v>
      </c>
      <c r="G37" t="s">
        <v>130</v>
      </c>
      <c r="H37" t="s">
        <v>121</v>
      </c>
      <c r="I37" t="s">
        <v>150</v>
      </c>
      <c r="J37" t="s">
        <v>112</v>
      </c>
    </row>
    <row r="38" spans="1:10" hidden="1" x14ac:dyDescent="0.3">
      <c r="A38" t="s">
        <v>151</v>
      </c>
      <c r="B38" t="s">
        <v>9</v>
      </c>
      <c r="C38">
        <v>0</v>
      </c>
      <c r="D38">
        <v>0</v>
      </c>
      <c r="E38" t="s">
        <v>5</v>
      </c>
      <c r="F38" t="s">
        <v>10</v>
      </c>
      <c r="G38" t="s">
        <v>124</v>
      </c>
      <c r="H38" t="s">
        <v>127</v>
      </c>
      <c r="I38" t="s">
        <v>142</v>
      </c>
      <c r="J38" t="s">
        <v>112</v>
      </c>
    </row>
    <row r="39" spans="1:10" hidden="1" x14ac:dyDescent="0.3">
      <c r="A39" t="s">
        <v>151</v>
      </c>
      <c r="B39" t="s">
        <v>37</v>
      </c>
      <c r="C39">
        <v>1</v>
      </c>
      <c r="D39">
        <v>2</v>
      </c>
      <c r="E39" t="s">
        <v>35</v>
      </c>
      <c r="F39" t="s">
        <v>38</v>
      </c>
      <c r="G39" t="s">
        <v>120</v>
      </c>
      <c r="H39" t="s">
        <v>114</v>
      </c>
      <c r="I39" t="s">
        <v>152</v>
      </c>
      <c r="J39" t="s">
        <v>108</v>
      </c>
    </row>
    <row r="40" spans="1:10" hidden="1" x14ac:dyDescent="0.3">
      <c r="A40" t="s">
        <v>151</v>
      </c>
      <c r="B40" t="s">
        <v>26</v>
      </c>
      <c r="C40">
        <v>2</v>
      </c>
      <c r="D40">
        <v>3</v>
      </c>
      <c r="E40" t="s">
        <v>17</v>
      </c>
      <c r="F40" t="s">
        <v>18</v>
      </c>
      <c r="G40" t="s">
        <v>121</v>
      </c>
      <c r="H40" t="s">
        <v>121</v>
      </c>
      <c r="I40" t="s">
        <v>153</v>
      </c>
      <c r="J40" t="s">
        <v>119</v>
      </c>
    </row>
    <row r="41" spans="1:10" hidden="1" x14ac:dyDescent="0.3">
      <c r="A41" t="s">
        <v>151</v>
      </c>
      <c r="B41" t="s">
        <v>24</v>
      </c>
      <c r="C41">
        <v>2</v>
      </c>
      <c r="D41">
        <v>1</v>
      </c>
      <c r="E41" t="s">
        <v>42</v>
      </c>
      <c r="F41" t="s">
        <v>25</v>
      </c>
      <c r="G41" t="s">
        <v>105</v>
      </c>
      <c r="H41" t="s">
        <v>106</v>
      </c>
      <c r="I41" t="s">
        <v>143</v>
      </c>
      <c r="J41" t="s">
        <v>116</v>
      </c>
    </row>
    <row r="42" spans="1:10" x14ac:dyDescent="0.3">
      <c r="A42" t="s">
        <v>151</v>
      </c>
      <c r="B42" t="s">
        <v>44</v>
      </c>
      <c r="C42">
        <v>0</v>
      </c>
      <c r="D42">
        <v>1</v>
      </c>
      <c r="E42" t="s">
        <v>12</v>
      </c>
      <c r="F42" t="s">
        <v>31</v>
      </c>
      <c r="G42" t="s">
        <v>109</v>
      </c>
      <c r="H42" t="s">
        <v>106</v>
      </c>
      <c r="I42" t="s">
        <v>154</v>
      </c>
      <c r="J42" t="s">
        <v>116</v>
      </c>
    </row>
    <row r="43" spans="1:10" hidden="1" x14ac:dyDescent="0.3">
      <c r="A43" t="s">
        <v>151</v>
      </c>
      <c r="B43" t="s">
        <v>39</v>
      </c>
      <c r="C43">
        <v>0</v>
      </c>
      <c r="D43">
        <v>0</v>
      </c>
      <c r="E43" t="s">
        <v>27</v>
      </c>
      <c r="F43" t="s">
        <v>40</v>
      </c>
      <c r="G43" t="s">
        <v>113</v>
      </c>
      <c r="H43" t="s">
        <v>130</v>
      </c>
      <c r="I43" t="s">
        <v>135</v>
      </c>
      <c r="J43" t="s">
        <v>112</v>
      </c>
    </row>
    <row r="44" spans="1:10" hidden="1" x14ac:dyDescent="0.3">
      <c r="A44" t="s">
        <v>151</v>
      </c>
      <c r="B44" t="s">
        <v>19</v>
      </c>
      <c r="C44">
        <v>3</v>
      </c>
      <c r="D44">
        <v>1</v>
      </c>
      <c r="E44" t="s">
        <v>15</v>
      </c>
      <c r="F44" t="s">
        <v>20</v>
      </c>
      <c r="G44" t="s">
        <v>129</v>
      </c>
      <c r="H44" t="s">
        <v>110</v>
      </c>
      <c r="I44" t="s">
        <v>155</v>
      </c>
      <c r="J44" t="s">
        <v>116</v>
      </c>
    </row>
    <row r="45" spans="1:10" hidden="1" x14ac:dyDescent="0.3">
      <c r="A45" t="s">
        <v>151</v>
      </c>
      <c r="B45" t="s">
        <v>32</v>
      </c>
      <c r="C45">
        <v>2</v>
      </c>
      <c r="D45">
        <v>1</v>
      </c>
      <c r="E45" t="s">
        <v>23</v>
      </c>
      <c r="F45" t="s">
        <v>33</v>
      </c>
      <c r="G45" t="s">
        <v>117</v>
      </c>
      <c r="H45" t="s">
        <v>121</v>
      </c>
      <c r="I45" t="s">
        <v>156</v>
      </c>
      <c r="J45" t="s">
        <v>116</v>
      </c>
    </row>
    <row r="46" spans="1:10" hidden="1" x14ac:dyDescent="0.3">
      <c r="A46" t="s">
        <v>151</v>
      </c>
      <c r="B46" t="s">
        <v>126</v>
      </c>
      <c r="C46">
        <v>1</v>
      </c>
      <c r="D46">
        <v>0</v>
      </c>
      <c r="E46" t="s">
        <v>30</v>
      </c>
      <c r="F46" t="s">
        <v>13</v>
      </c>
      <c r="G46" t="s">
        <v>106</v>
      </c>
      <c r="H46" t="s">
        <v>109</v>
      </c>
      <c r="I46" t="s">
        <v>136</v>
      </c>
      <c r="J46" t="s">
        <v>112</v>
      </c>
    </row>
    <row r="47" spans="1:10" hidden="1" x14ac:dyDescent="0.3">
      <c r="A47" t="s">
        <v>157</v>
      </c>
      <c r="B47" t="s">
        <v>15</v>
      </c>
      <c r="C47">
        <v>1</v>
      </c>
      <c r="D47">
        <v>0</v>
      </c>
      <c r="E47" t="s">
        <v>30</v>
      </c>
      <c r="F47" t="s">
        <v>16</v>
      </c>
      <c r="G47" t="s">
        <v>110</v>
      </c>
      <c r="H47" t="s">
        <v>109</v>
      </c>
      <c r="I47" t="s">
        <v>115</v>
      </c>
      <c r="J47" t="s">
        <v>112</v>
      </c>
    </row>
    <row r="48" spans="1:10" hidden="1" x14ac:dyDescent="0.3">
      <c r="A48" t="s">
        <v>157</v>
      </c>
      <c r="B48" t="s">
        <v>27</v>
      </c>
      <c r="C48">
        <v>2</v>
      </c>
      <c r="D48">
        <v>1</v>
      </c>
      <c r="E48" t="s">
        <v>24</v>
      </c>
      <c r="F48" t="s">
        <v>28</v>
      </c>
      <c r="G48" t="s">
        <v>130</v>
      </c>
      <c r="H48" t="s">
        <v>105</v>
      </c>
      <c r="I48" t="s">
        <v>133</v>
      </c>
      <c r="J48" t="s">
        <v>116</v>
      </c>
    </row>
    <row r="49" spans="1:10" hidden="1" x14ac:dyDescent="0.3">
      <c r="A49" t="s">
        <v>157</v>
      </c>
      <c r="B49" t="s">
        <v>19</v>
      </c>
      <c r="C49">
        <v>1</v>
      </c>
      <c r="D49">
        <v>2</v>
      </c>
      <c r="E49" t="s">
        <v>44</v>
      </c>
      <c r="F49" t="s">
        <v>20</v>
      </c>
      <c r="G49" t="s">
        <v>129</v>
      </c>
      <c r="H49" t="s">
        <v>109</v>
      </c>
      <c r="I49" t="s">
        <v>131</v>
      </c>
      <c r="J49" t="s">
        <v>108</v>
      </c>
    </row>
    <row r="50" spans="1:10" hidden="1" x14ac:dyDescent="0.3">
      <c r="A50" t="s">
        <v>157</v>
      </c>
      <c r="B50" t="s">
        <v>42</v>
      </c>
      <c r="C50">
        <v>3</v>
      </c>
      <c r="D50">
        <v>1</v>
      </c>
      <c r="E50" t="s">
        <v>9</v>
      </c>
      <c r="F50" t="s">
        <v>13</v>
      </c>
      <c r="G50" t="s">
        <v>106</v>
      </c>
      <c r="H50" t="s">
        <v>124</v>
      </c>
      <c r="I50" t="s">
        <v>158</v>
      </c>
      <c r="J50" t="s">
        <v>116</v>
      </c>
    </row>
    <row r="51" spans="1:10" hidden="1" x14ac:dyDescent="0.3">
      <c r="A51" t="s">
        <v>157</v>
      </c>
      <c r="B51" t="s">
        <v>23</v>
      </c>
      <c r="C51">
        <v>1</v>
      </c>
      <c r="D51">
        <v>0</v>
      </c>
      <c r="E51" t="s">
        <v>26</v>
      </c>
      <c r="F51" t="s">
        <v>18</v>
      </c>
      <c r="G51" t="s">
        <v>121</v>
      </c>
      <c r="H51" t="s">
        <v>121</v>
      </c>
      <c r="I51" t="s">
        <v>123</v>
      </c>
      <c r="J51" t="s">
        <v>112</v>
      </c>
    </row>
    <row r="52" spans="1:10" hidden="1" x14ac:dyDescent="0.3">
      <c r="A52" t="s">
        <v>157</v>
      </c>
      <c r="B52" t="s">
        <v>5</v>
      </c>
      <c r="C52">
        <v>2</v>
      </c>
      <c r="D52">
        <v>3</v>
      </c>
      <c r="E52" t="s">
        <v>32</v>
      </c>
      <c r="F52" t="s">
        <v>6</v>
      </c>
      <c r="G52" t="s">
        <v>127</v>
      </c>
      <c r="H52" t="s">
        <v>117</v>
      </c>
      <c r="I52" t="s">
        <v>147</v>
      </c>
      <c r="J52" t="s">
        <v>119</v>
      </c>
    </row>
    <row r="53" spans="1:10" hidden="1" x14ac:dyDescent="0.3">
      <c r="A53" t="s">
        <v>157</v>
      </c>
      <c r="B53" t="s">
        <v>35</v>
      </c>
      <c r="C53">
        <v>3</v>
      </c>
      <c r="D53">
        <v>1</v>
      </c>
      <c r="E53" t="s">
        <v>126</v>
      </c>
      <c r="F53" t="s">
        <v>36</v>
      </c>
      <c r="G53" t="s">
        <v>114</v>
      </c>
      <c r="H53" t="s">
        <v>106</v>
      </c>
      <c r="I53" t="s">
        <v>148</v>
      </c>
      <c r="J53" t="s">
        <v>116</v>
      </c>
    </row>
    <row r="54" spans="1:10" hidden="1" x14ac:dyDescent="0.3">
      <c r="A54" t="s">
        <v>157</v>
      </c>
      <c r="B54" t="s">
        <v>17</v>
      </c>
      <c r="C54">
        <v>3</v>
      </c>
      <c r="D54">
        <v>1</v>
      </c>
      <c r="E54" t="s">
        <v>39</v>
      </c>
      <c r="F54" t="s">
        <v>18</v>
      </c>
      <c r="G54" t="s">
        <v>121</v>
      </c>
      <c r="H54" t="s">
        <v>113</v>
      </c>
      <c r="I54" t="s">
        <v>149</v>
      </c>
      <c r="J54" t="s">
        <v>116</v>
      </c>
    </row>
    <row r="55" spans="1:10" hidden="1" x14ac:dyDescent="0.3">
      <c r="A55" t="s">
        <v>157</v>
      </c>
      <c r="B55" t="s">
        <v>12</v>
      </c>
      <c r="C55">
        <v>3</v>
      </c>
      <c r="D55">
        <v>1</v>
      </c>
      <c r="E55" t="s">
        <v>37</v>
      </c>
      <c r="F55" t="s">
        <v>13</v>
      </c>
      <c r="G55" t="s">
        <v>106</v>
      </c>
      <c r="H55" t="s">
        <v>120</v>
      </c>
      <c r="I55" t="s">
        <v>158</v>
      </c>
      <c r="J55" t="s">
        <v>116</v>
      </c>
    </row>
    <row r="56" spans="1:10" hidden="1" x14ac:dyDescent="0.3">
      <c r="A56" t="s">
        <v>159</v>
      </c>
      <c r="B56" t="s">
        <v>30</v>
      </c>
      <c r="C56">
        <v>3</v>
      </c>
      <c r="D56">
        <v>4</v>
      </c>
      <c r="E56" t="s">
        <v>19</v>
      </c>
      <c r="F56" t="s">
        <v>31</v>
      </c>
      <c r="G56" t="s">
        <v>109</v>
      </c>
      <c r="H56" t="s">
        <v>129</v>
      </c>
      <c r="I56" t="s">
        <v>146</v>
      </c>
      <c r="J56" t="s">
        <v>160</v>
      </c>
    </row>
    <row r="57" spans="1:10" hidden="1" x14ac:dyDescent="0.3">
      <c r="A57" t="s">
        <v>159</v>
      </c>
      <c r="B57" t="s">
        <v>24</v>
      </c>
      <c r="C57">
        <v>0</v>
      </c>
      <c r="D57">
        <v>1</v>
      </c>
      <c r="E57" t="s">
        <v>5</v>
      </c>
      <c r="F57" t="s">
        <v>25</v>
      </c>
      <c r="G57" t="s">
        <v>105</v>
      </c>
      <c r="H57" t="s">
        <v>127</v>
      </c>
      <c r="I57" t="s">
        <v>161</v>
      </c>
      <c r="J57" t="s">
        <v>116</v>
      </c>
    </row>
    <row r="58" spans="1:10" hidden="1" x14ac:dyDescent="0.3">
      <c r="A58" t="s">
        <v>159</v>
      </c>
      <c r="B58" t="s">
        <v>32</v>
      </c>
      <c r="C58">
        <v>2</v>
      </c>
      <c r="D58">
        <v>3</v>
      </c>
      <c r="E58" t="s">
        <v>35</v>
      </c>
      <c r="F58" t="s">
        <v>33</v>
      </c>
      <c r="G58" t="s">
        <v>117</v>
      </c>
      <c r="H58" t="s">
        <v>114</v>
      </c>
      <c r="I58" t="s">
        <v>156</v>
      </c>
      <c r="J58" t="s">
        <v>119</v>
      </c>
    </row>
    <row r="59" spans="1:10" hidden="1" x14ac:dyDescent="0.3">
      <c r="A59" t="s">
        <v>159</v>
      </c>
      <c r="B59" t="s">
        <v>26</v>
      </c>
      <c r="C59">
        <v>1</v>
      </c>
      <c r="D59">
        <v>1</v>
      </c>
      <c r="E59" t="s">
        <v>12</v>
      </c>
      <c r="F59" t="s">
        <v>18</v>
      </c>
      <c r="G59" t="s">
        <v>121</v>
      </c>
      <c r="H59" t="s">
        <v>106</v>
      </c>
      <c r="I59" t="s">
        <v>123</v>
      </c>
      <c r="J59" t="s">
        <v>116</v>
      </c>
    </row>
    <row r="60" spans="1:10" hidden="1" x14ac:dyDescent="0.3">
      <c r="A60" t="s">
        <v>159</v>
      </c>
      <c r="B60" t="s">
        <v>126</v>
      </c>
      <c r="C60">
        <v>2</v>
      </c>
      <c r="D60">
        <v>0</v>
      </c>
      <c r="E60" t="s">
        <v>44</v>
      </c>
      <c r="F60" t="s">
        <v>13</v>
      </c>
      <c r="G60" t="s">
        <v>106</v>
      </c>
      <c r="H60" t="s">
        <v>109</v>
      </c>
      <c r="I60" t="s">
        <v>128</v>
      </c>
      <c r="J60" t="s">
        <v>112</v>
      </c>
    </row>
    <row r="61" spans="1:10" hidden="1" x14ac:dyDescent="0.3">
      <c r="A61" t="s">
        <v>159</v>
      </c>
      <c r="B61" t="s">
        <v>42</v>
      </c>
      <c r="C61">
        <v>3</v>
      </c>
      <c r="D61">
        <v>0</v>
      </c>
      <c r="E61" t="s">
        <v>39</v>
      </c>
      <c r="F61" t="s">
        <v>13</v>
      </c>
      <c r="G61" t="s">
        <v>106</v>
      </c>
      <c r="H61" t="s">
        <v>113</v>
      </c>
      <c r="I61" t="s">
        <v>158</v>
      </c>
      <c r="J61" t="s">
        <v>112</v>
      </c>
    </row>
    <row r="62" spans="1:10" hidden="1" x14ac:dyDescent="0.3">
      <c r="A62" t="s">
        <v>159</v>
      </c>
      <c r="B62" t="s">
        <v>37</v>
      </c>
      <c r="C62">
        <v>0</v>
      </c>
      <c r="D62">
        <v>0</v>
      </c>
      <c r="E62" t="s">
        <v>15</v>
      </c>
      <c r="F62" t="s">
        <v>38</v>
      </c>
      <c r="G62" t="s">
        <v>120</v>
      </c>
      <c r="H62" t="s">
        <v>110</v>
      </c>
      <c r="I62" t="s">
        <v>162</v>
      </c>
      <c r="J62" t="s">
        <v>112</v>
      </c>
    </row>
    <row r="63" spans="1:10" hidden="1" x14ac:dyDescent="0.3">
      <c r="A63" t="s">
        <v>159</v>
      </c>
      <c r="B63" t="s">
        <v>9</v>
      </c>
      <c r="C63">
        <v>3</v>
      </c>
      <c r="D63">
        <v>0</v>
      </c>
      <c r="E63" t="s">
        <v>27</v>
      </c>
      <c r="F63" t="s">
        <v>10</v>
      </c>
      <c r="G63" t="s">
        <v>124</v>
      </c>
      <c r="H63" t="s">
        <v>130</v>
      </c>
      <c r="I63" t="s">
        <v>158</v>
      </c>
      <c r="J63" t="s">
        <v>112</v>
      </c>
    </row>
    <row r="64" spans="1:10" hidden="1" x14ac:dyDescent="0.3">
      <c r="A64" t="s">
        <v>159</v>
      </c>
      <c r="B64" t="s">
        <v>23</v>
      </c>
      <c r="C64">
        <v>1</v>
      </c>
      <c r="D64">
        <v>2</v>
      </c>
      <c r="E64" t="s">
        <v>17</v>
      </c>
      <c r="F64" t="s">
        <v>18</v>
      </c>
      <c r="G64" t="s">
        <v>121</v>
      </c>
      <c r="H64" t="s">
        <v>121</v>
      </c>
      <c r="I64" t="s">
        <v>123</v>
      </c>
      <c r="J64" t="s">
        <v>108</v>
      </c>
    </row>
    <row r="65" spans="1:10" hidden="1" x14ac:dyDescent="0.3">
      <c r="A65" t="s">
        <v>163</v>
      </c>
      <c r="B65" t="s">
        <v>5</v>
      </c>
      <c r="C65">
        <v>1</v>
      </c>
      <c r="D65">
        <v>1</v>
      </c>
      <c r="E65" t="s">
        <v>37</v>
      </c>
      <c r="F65" t="s">
        <v>6</v>
      </c>
      <c r="G65" t="s">
        <v>127</v>
      </c>
      <c r="H65" t="s">
        <v>120</v>
      </c>
      <c r="I65" t="s">
        <v>134</v>
      </c>
      <c r="J65" t="s">
        <v>116</v>
      </c>
    </row>
    <row r="66" spans="1:10" hidden="1" x14ac:dyDescent="0.3">
      <c r="A66" t="s">
        <v>163</v>
      </c>
      <c r="B66" t="s">
        <v>17</v>
      </c>
      <c r="C66">
        <v>3</v>
      </c>
      <c r="D66">
        <v>0</v>
      </c>
      <c r="E66" t="s">
        <v>30</v>
      </c>
      <c r="F66" t="s">
        <v>18</v>
      </c>
      <c r="G66" t="s">
        <v>121</v>
      </c>
      <c r="H66" t="s">
        <v>109</v>
      </c>
      <c r="I66" t="s">
        <v>149</v>
      </c>
      <c r="J66" t="s">
        <v>112</v>
      </c>
    </row>
    <row r="67" spans="1:10" hidden="1" x14ac:dyDescent="0.3">
      <c r="A67" t="s">
        <v>163</v>
      </c>
      <c r="B67" t="s">
        <v>27</v>
      </c>
      <c r="C67">
        <v>1</v>
      </c>
      <c r="D67">
        <v>2</v>
      </c>
      <c r="E67" t="s">
        <v>23</v>
      </c>
      <c r="F67" t="s">
        <v>28</v>
      </c>
      <c r="G67" t="s">
        <v>130</v>
      </c>
      <c r="H67" t="s">
        <v>121</v>
      </c>
      <c r="I67" t="s">
        <v>150</v>
      </c>
      <c r="J67" t="s">
        <v>108</v>
      </c>
    </row>
    <row r="68" spans="1:10" hidden="1" x14ac:dyDescent="0.3">
      <c r="A68" t="s">
        <v>163</v>
      </c>
      <c r="B68" t="s">
        <v>19</v>
      </c>
      <c r="C68">
        <v>0</v>
      </c>
      <c r="D68">
        <v>0</v>
      </c>
      <c r="E68" t="s">
        <v>126</v>
      </c>
      <c r="F68" t="s">
        <v>20</v>
      </c>
      <c r="G68" t="s">
        <v>129</v>
      </c>
      <c r="H68" t="s">
        <v>106</v>
      </c>
      <c r="I68" t="s">
        <v>164</v>
      </c>
      <c r="J68" t="s">
        <v>112</v>
      </c>
    </row>
    <row r="69" spans="1:10" hidden="1" x14ac:dyDescent="0.3">
      <c r="A69" t="s">
        <v>163</v>
      </c>
      <c r="B69" t="s">
        <v>35</v>
      </c>
      <c r="C69">
        <v>3</v>
      </c>
      <c r="D69">
        <v>2</v>
      </c>
      <c r="E69" t="s">
        <v>42</v>
      </c>
      <c r="F69" t="s">
        <v>36</v>
      </c>
      <c r="G69" t="s">
        <v>114</v>
      </c>
      <c r="H69" t="s">
        <v>106</v>
      </c>
      <c r="I69" t="s">
        <v>148</v>
      </c>
      <c r="J69" t="s">
        <v>108</v>
      </c>
    </row>
    <row r="70" spans="1:10" hidden="1" x14ac:dyDescent="0.3">
      <c r="A70" t="s">
        <v>163</v>
      </c>
      <c r="B70" t="s">
        <v>12</v>
      </c>
      <c r="C70">
        <v>2</v>
      </c>
      <c r="D70">
        <v>0</v>
      </c>
      <c r="E70" t="s">
        <v>32</v>
      </c>
      <c r="F70" t="s">
        <v>13</v>
      </c>
      <c r="G70" t="s">
        <v>106</v>
      </c>
      <c r="H70" t="s">
        <v>117</v>
      </c>
      <c r="I70" t="s">
        <v>128</v>
      </c>
      <c r="J70" t="s">
        <v>112</v>
      </c>
    </row>
    <row r="71" spans="1:10" x14ac:dyDescent="0.3">
      <c r="A71" t="s">
        <v>163</v>
      </c>
      <c r="B71" t="s">
        <v>44</v>
      </c>
      <c r="C71">
        <v>1</v>
      </c>
      <c r="D71">
        <v>1</v>
      </c>
      <c r="E71" t="s">
        <v>9</v>
      </c>
      <c r="F71" t="s">
        <v>31</v>
      </c>
      <c r="G71" t="s">
        <v>109</v>
      </c>
      <c r="H71" t="s">
        <v>124</v>
      </c>
      <c r="I71" t="s">
        <v>139</v>
      </c>
      <c r="J71" t="s">
        <v>116</v>
      </c>
    </row>
    <row r="72" spans="1:10" hidden="1" x14ac:dyDescent="0.3">
      <c r="A72" t="s">
        <v>163</v>
      </c>
      <c r="B72" t="s">
        <v>15</v>
      </c>
      <c r="C72">
        <v>0</v>
      </c>
      <c r="D72">
        <v>0</v>
      </c>
      <c r="E72" t="s">
        <v>26</v>
      </c>
      <c r="F72" t="s">
        <v>16</v>
      </c>
      <c r="G72" t="s">
        <v>110</v>
      </c>
      <c r="H72" t="s">
        <v>121</v>
      </c>
      <c r="I72" t="s">
        <v>135</v>
      </c>
      <c r="J72" t="s">
        <v>112</v>
      </c>
    </row>
    <row r="73" spans="1:10" hidden="1" x14ac:dyDescent="0.3">
      <c r="A73" t="s">
        <v>163</v>
      </c>
      <c r="B73" t="s">
        <v>39</v>
      </c>
      <c r="C73">
        <v>3</v>
      </c>
      <c r="D73">
        <v>0</v>
      </c>
      <c r="E73" t="s">
        <v>24</v>
      </c>
      <c r="F73" t="s">
        <v>40</v>
      </c>
      <c r="G73" t="s">
        <v>113</v>
      </c>
      <c r="H73" t="s">
        <v>105</v>
      </c>
      <c r="I73" t="s">
        <v>165</v>
      </c>
      <c r="J73" t="s">
        <v>112</v>
      </c>
    </row>
    <row r="74" spans="1:10" hidden="1" x14ac:dyDescent="0.3">
      <c r="A74" t="s">
        <v>166</v>
      </c>
      <c r="B74" t="s">
        <v>42</v>
      </c>
      <c r="C74">
        <v>1</v>
      </c>
      <c r="D74">
        <v>2</v>
      </c>
      <c r="E74" t="s">
        <v>27</v>
      </c>
      <c r="F74" t="s">
        <v>13</v>
      </c>
      <c r="G74" t="s">
        <v>106</v>
      </c>
      <c r="H74" t="s">
        <v>130</v>
      </c>
      <c r="I74" t="s">
        <v>136</v>
      </c>
      <c r="J74" t="s">
        <v>108</v>
      </c>
    </row>
    <row r="75" spans="1:10" hidden="1" x14ac:dyDescent="0.3">
      <c r="A75" t="s">
        <v>166</v>
      </c>
      <c r="B75" t="s">
        <v>9</v>
      </c>
      <c r="C75">
        <v>2</v>
      </c>
      <c r="D75">
        <v>2</v>
      </c>
      <c r="E75" t="s">
        <v>15</v>
      </c>
      <c r="F75" t="s">
        <v>10</v>
      </c>
      <c r="G75" t="s">
        <v>124</v>
      </c>
      <c r="H75" t="s">
        <v>110</v>
      </c>
      <c r="I75" t="s">
        <v>128</v>
      </c>
      <c r="J75" t="s">
        <v>108</v>
      </c>
    </row>
    <row r="76" spans="1:10" hidden="1" x14ac:dyDescent="0.3">
      <c r="A76" t="s">
        <v>166</v>
      </c>
      <c r="B76" t="s">
        <v>17</v>
      </c>
      <c r="C76">
        <v>3</v>
      </c>
      <c r="D76">
        <v>2</v>
      </c>
      <c r="E76" t="s">
        <v>5</v>
      </c>
      <c r="F76" t="s">
        <v>18</v>
      </c>
      <c r="G76" t="s">
        <v>121</v>
      </c>
      <c r="H76" t="s">
        <v>127</v>
      </c>
      <c r="I76" t="s">
        <v>149</v>
      </c>
      <c r="J76" t="s">
        <v>108</v>
      </c>
    </row>
    <row r="77" spans="1:10" hidden="1" x14ac:dyDescent="0.3">
      <c r="A77" t="s">
        <v>166</v>
      </c>
      <c r="B77" t="s">
        <v>26</v>
      </c>
      <c r="C77">
        <v>3</v>
      </c>
      <c r="D77">
        <v>2</v>
      </c>
      <c r="E77" t="s">
        <v>39</v>
      </c>
      <c r="F77" t="s">
        <v>18</v>
      </c>
      <c r="G77" t="s">
        <v>121</v>
      </c>
      <c r="H77" t="s">
        <v>113</v>
      </c>
      <c r="I77" t="s">
        <v>149</v>
      </c>
      <c r="J77" t="s">
        <v>108</v>
      </c>
    </row>
    <row r="78" spans="1:10" hidden="1" x14ac:dyDescent="0.3">
      <c r="A78" t="s">
        <v>166</v>
      </c>
      <c r="B78" t="s">
        <v>37</v>
      </c>
      <c r="C78">
        <v>1</v>
      </c>
      <c r="D78">
        <v>3</v>
      </c>
      <c r="E78" t="s">
        <v>23</v>
      </c>
      <c r="F78" t="s">
        <v>38</v>
      </c>
      <c r="G78" t="s">
        <v>120</v>
      </c>
      <c r="H78" t="s">
        <v>121</v>
      </c>
      <c r="I78" t="s">
        <v>152</v>
      </c>
      <c r="J78" t="s">
        <v>119</v>
      </c>
    </row>
    <row r="79" spans="1:10" hidden="1" x14ac:dyDescent="0.3">
      <c r="A79" t="s">
        <v>166</v>
      </c>
      <c r="B79" t="s">
        <v>126</v>
      </c>
      <c r="C79">
        <v>1</v>
      </c>
      <c r="D79">
        <v>0</v>
      </c>
      <c r="E79" t="s">
        <v>12</v>
      </c>
      <c r="F79" t="s">
        <v>13</v>
      </c>
      <c r="G79" t="s">
        <v>106</v>
      </c>
      <c r="H79" t="s">
        <v>106</v>
      </c>
      <c r="I79" t="s">
        <v>136</v>
      </c>
      <c r="J79" t="s">
        <v>112</v>
      </c>
    </row>
    <row r="80" spans="1:10" hidden="1" x14ac:dyDescent="0.3">
      <c r="A80" t="s">
        <v>166</v>
      </c>
      <c r="B80" t="s">
        <v>24</v>
      </c>
      <c r="C80">
        <v>1</v>
      </c>
      <c r="D80">
        <v>1</v>
      </c>
      <c r="E80" t="s">
        <v>19</v>
      </c>
      <c r="F80" t="s">
        <v>25</v>
      </c>
      <c r="G80" t="s">
        <v>105</v>
      </c>
      <c r="H80" t="s">
        <v>129</v>
      </c>
      <c r="I80" t="s">
        <v>107</v>
      </c>
      <c r="J80" t="s">
        <v>116</v>
      </c>
    </row>
    <row r="81" spans="1:10" hidden="1" x14ac:dyDescent="0.3">
      <c r="A81" t="s">
        <v>166</v>
      </c>
      <c r="B81" t="s">
        <v>32</v>
      </c>
      <c r="C81">
        <v>2</v>
      </c>
      <c r="D81">
        <v>1</v>
      </c>
      <c r="E81" t="s">
        <v>44</v>
      </c>
      <c r="F81" t="s">
        <v>33</v>
      </c>
      <c r="G81" t="s">
        <v>117</v>
      </c>
      <c r="H81" t="s">
        <v>109</v>
      </c>
      <c r="I81" t="s">
        <v>156</v>
      </c>
      <c r="J81" t="s">
        <v>116</v>
      </c>
    </row>
    <row r="82" spans="1:10" hidden="1" x14ac:dyDescent="0.3">
      <c r="A82" t="s">
        <v>166</v>
      </c>
      <c r="B82" t="s">
        <v>30</v>
      </c>
      <c r="C82">
        <v>0</v>
      </c>
      <c r="D82">
        <v>1</v>
      </c>
      <c r="E82" t="s">
        <v>35</v>
      </c>
      <c r="F82" t="s">
        <v>31</v>
      </c>
      <c r="G82" t="s">
        <v>109</v>
      </c>
      <c r="H82" t="s">
        <v>114</v>
      </c>
      <c r="I82" t="s">
        <v>154</v>
      </c>
      <c r="J82" t="s">
        <v>116</v>
      </c>
    </row>
    <row r="83" spans="1:10" hidden="1" x14ac:dyDescent="0.3">
      <c r="A83" t="s">
        <v>167</v>
      </c>
      <c r="B83" t="s">
        <v>27</v>
      </c>
      <c r="C83">
        <v>3</v>
      </c>
      <c r="D83">
        <v>0</v>
      </c>
      <c r="E83" t="s">
        <v>32</v>
      </c>
      <c r="F83" t="s">
        <v>28</v>
      </c>
      <c r="G83" t="s">
        <v>130</v>
      </c>
      <c r="H83" t="s">
        <v>117</v>
      </c>
      <c r="I83" t="s">
        <v>168</v>
      </c>
      <c r="J83" t="s">
        <v>112</v>
      </c>
    </row>
    <row r="84" spans="1:10" hidden="1" x14ac:dyDescent="0.3">
      <c r="A84" t="s">
        <v>167</v>
      </c>
      <c r="B84" t="s">
        <v>5</v>
      </c>
      <c r="C84">
        <v>0</v>
      </c>
      <c r="D84">
        <v>1</v>
      </c>
      <c r="E84" t="s">
        <v>12</v>
      </c>
      <c r="F84" t="s">
        <v>6</v>
      </c>
      <c r="G84" t="s">
        <v>127</v>
      </c>
      <c r="H84" t="s">
        <v>106</v>
      </c>
      <c r="I84" t="s">
        <v>169</v>
      </c>
      <c r="J84" t="s">
        <v>116</v>
      </c>
    </row>
    <row r="85" spans="1:10" hidden="1" x14ac:dyDescent="0.3">
      <c r="A85" t="s">
        <v>167</v>
      </c>
      <c r="B85" t="s">
        <v>39</v>
      </c>
      <c r="C85">
        <v>1</v>
      </c>
      <c r="D85">
        <v>3</v>
      </c>
      <c r="E85" t="s">
        <v>37</v>
      </c>
      <c r="F85" t="s">
        <v>40</v>
      </c>
      <c r="G85" t="s">
        <v>113</v>
      </c>
      <c r="H85" t="s">
        <v>120</v>
      </c>
      <c r="I85" t="s">
        <v>115</v>
      </c>
      <c r="J85" t="s">
        <v>119</v>
      </c>
    </row>
    <row r="86" spans="1:10" x14ac:dyDescent="0.3">
      <c r="A86" t="s">
        <v>167</v>
      </c>
      <c r="B86" t="s">
        <v>44</v>
      </c>
      <c r="C86">
        <v>2</v>
      </c>
      <c r="D86">
        <v>2</v>
      </c>
      <c r="E86" t="s">
        <v>24</v>
      </c>
      <c r="F86" t="s">
        <v>31</v>
      </c>
      <c r="G86" t="s">
        <v>109</v>
      </c>
      <c r="H86" t="s">
        <v>105</v>
      </c>
      <c r="I86" t="s">
        <v>111</v>
      </c>
      <c r="J86" t="s">
        <v>108</v>
      </c>
    </row>
    <row r="87" spans="1:10" hidden="1" x14ac:dyDescent="0.3">
      <c r="A87" t="s">
        <v>167</v>
      </c>
      <c r="B87" t="s">
        <v>19</v>
      </c>
      <c r="C87">
        <v>1</v>
      </c>
      <c r="D87">
        <v>0</v>
      </c>
      <c r="E87" t="s">
        <v>9</v>
      </c>
      <c r="F87" t="s">
        <v>20</v>
      </c>
      <c r="G87" t="s">
        <v>129</v>
      </c>
      <c r="H87" t="s">
        <v>124</v>
      </c>
      <c r="I87" t="s">
        <v>131</v>
      </c>
      <c r="J87" t="s">
        <v>112</v>
      </c>
    </row>
    <row r="88" spans="1:10" hidden="1" x14ac:dyDescent="0.3">
      <c r="A88" t="s">
        <v>167</v>
      </c>
      <c r="B88" t="s">
        <v>15</v>
      </c>
      <c r="C88">
        <v>4</v>
      </c>
      <c r="D88">
        <v>1</v>
      </c>
      <c r="E88" t="s">
        <v>42</v>
      </c>
      <c r="F88" t="s">
        <v>16</v>
      </c>
      <c r="G88" t="s">
        <v>110</v>
      </c>
      <c r="H88" t="s">
        <v>106</v>
      </c>
      <c r="I88" t="s">
        <v>170</v>
      </c>
      <c r="J88" t="s">
        <v>116</v>
      </c>
    </row>
    <row r="89" spans="1:10" hidden="1" x14ac:dyDescent="0.3">
      <c r="A89" t="s">
        <v>167</v>
      </c>
      <c r="B89" t="s">
        <v>23</v>
      </c>
      <c r="C89">
        <v>1</v>
      </c>
      <c r="D89">
        <v>0</v>
      </c>
      <c r="E89" t="s">
        <v>30</v>
      </c>
      <c r="F89" t="s">
        <v>18</v>
      </c>
      <c r="G89" t="s">
        <v>121</v>
      </c>
      <c r="H89" t="s">
        <v>109</v>
      </c>
      <c r="I89" t="s">
        <v>123</v>
      </c>
      <c r="J89" t="s">
        <v>112</v>
      </c>
    </row>
    <row r="90" spans="1:10" hidden="1" x14ac:dyDescent="0.3">
      <c r="A90" t="s">
        <v>167</v>
      </c>
      <c r="B90" t="s">
        <v>126</v>
      </c>
      <c r="C90">
        <v>4</v>
      </c>
      <c r="D90">
        <v>1</v>
      </c>
      <c r="E90" t="s">
        <v>26</v>
      </c>
      <c r="F90" t="s">
        <v>13</v>
      </c>
      <c r="G90" t="s">
        <v>106</v>
      </c>
      <c r="H90" t="s">
        <v>121</v>
      </c>
      <c r="I90" t="s">
        <v>171</v>
      </c>
      <c r="J90" t="s">
        <v>116</v>
      </c>
    </row>
    <row r="91" spans="1:10" hidden="1" x14ac:dyDescent="0.3">
      <c r="A91" t="s">
        <v>167</v>
      </c>
      <c r="B91" t="s">
        <v>35</v>
      </c>
      <c r="C91">
        <v>1</v>
      </c>
      <c r="D91">
        <v>0</v>
      </c>
      <c r="E91" t="s">
        <v>17</v>
      </c>
      <c r="F91" t="s">
        <v>36</v>
      </c>
      <c r="G91" t="s">
        <v>114</v>
      </c>
      <c r="H91" t="s">
        <v>121</v>
      </c>
      <c r="I91" t="s">
        <v>137</v>
      </c>
      <c r="J91" t="s">
        <v>112</v>
      </c>
    </row>
    <row r="92" spans="1:10" hidden="1" x14ac:dyDescent="0.3">
      <c r="A92" t="s">
        <v>172</v>
      </c>
      <c r="B92" t="s">
        <v>35</v>
      </c>
      <c r="C92">
        <v>2</v>
      </c>
      <c r="D92">
        <v>0</v>
      </c>
      <c r="E92" t="s">
        <v>15</v>
      </c>
      <c r="F92" t="s">
        <v>36</v>
      </c>
      <c r="G92" t="s">
        <v>114</v>
      </c>
      <c r="H92" t="s">
        <v>110</v>
      </c>
      <c r="I92" t="s">
        <v>173</v>
      </c>
      <c r="J92" t="s">
        <v>112</v>
      </c>
    </row>
    <row r="93" spans="1:10" hidden="1" x14ac:dyDescent="0.3">
      <c r="A93" t="s">
        <v>172</v>
      </c>
      <c r="B93" t="s">
        <v>30</v>
      </c>
      <c r="C93">
        <v>2</v>
      </c>
      <c r="D93">
        <v>2</v>
      </c>
      <c r="E93" t="s">
        <v>5</v>
      </c>
      <c r="F93" t="s">
        <v>31</v>
      </c>
      <c r="G93" t="s">
        <v>109</v>
      </c>
      <c r="H93" t="s">
        <v>127</v>
      </c>
      <c r="I93" t="s">
        <v>111</v>
      </c>
      <c r="J93" t="s">
        <v>108</v>
      </c>
    </row>
    <row r="94" spans="1:10" hidden="1" x14ac:dyDescent="0.3">
      <c r="A94" t="s">
        <v>172</v>
      </c>
      <c r="B94" t="s">
        <v>32</v>
      </c>
      <c r="C94">
        <v>2</v>
      </c>
      <c r="D94">
        <v>2</v>
      </c>
      <c r="E94" t="s">
        <v>19</v>
      </c>
      <c r="F94" t="s">
        <v>33</v>
      </c>
      <c r="G94" t="s">
        <v>117</v>
      </c>
      <c r="H94" t="s">
        <v>129</v>
      </c>
      <c r="I94" t="s">
        <v>156</v>
      </c>
      <c r="J94" t="s">
        <v>108</v>
      </c>
    </row>
    <row r="95" spans="1:10" hidden="1" x14ac:dyDescent="0.3">
      <c r="A95" t="s">
        <v>172</v>
      </c>
      <c r="B95" t="s">
        <v>24</v>
      </c>
      <c r="C95">
        <v>2</v>
      </c>
      <c r="D95">
        <v>1</v>
      </c>
      <c r="E95" t="s">
        <v>26</v>
      </c>
      <c r="F95" t="s">
        <v>25</v>
      </c>
      <c r="G95" t="s">
        <v>105</v>
      </c>
      <c r="H95" t="s">
        <v>121</v>
      </c>
      <c r="I95" t="s">
        <v>143</v>
      </c>
      <c r="J95" t="s">
        <v>116</v>
      </c>
    </row>
    <row r="96" spans="1:10" hidden="1" x14ac:dyDescent="0.3">
      <c r="A96" t="s">
        <v>172</v>
      </c>
      <c r="B96" t="s">
        <v>12</v>
      </c>
      <c r="C96">
        <v>8</v>
      </c>
      <c r="D96">
        <v>0</v>
      </c>
      <c r="E96" t="s">
        <v>23</v>
      </c>
      <c r="F96" t="s">
        <v>13</v>
      </c>
      <c r="G96" t="s">
        <v>106</v>
      </c>
      <c r="H96" t="s">
        <v>121</v>
      </c>
      <c r="I96" t="s">
        <v>174</v>
      </c>
      <c r="J96" t="s">
        <v>112</v>
      </c>
    </row>
    <row r="97" spans="1:10" hidden="1" x14ac:dyDescent="0.3">
      <c r="A97" t="s">
        <v>172</v>
      </c>
      <c r="B97" t="s">
        <v>42</v>
      </c>
      <c r="C97">
        <v>3</v>
      </c>
      <c r="D97">
        <v>2</v>
      </c>
      <c r="E97" t="s">
        <v>44</v>
      </c>
      <c r="F97" t="s">
        <v>13</v>
      </c>
      <c r="G97" t="s">
        <v>106</v>
      </c>
      <c r="H97" t="s">
        <v>109</v>
      </c>
      <c r="I97" t="s">
        <v>158</v>
      </c>
      <c r="J97" t="s">
        <v>108</v>
      </c>
    </row>
    <row r="98" spans="1:10" hidden="1" x14ac:dyDescent="0.3">
      <c r="A98" t="s">
        <v>172</v>
      </c>
      <c r="B98" t="s">
        <v>9</v>
      </c>
      <c r="C98">
        <v>0</v>
      </c>
      <c r="D98">
        <v>1</v>
      </c>
      <c r="E98" t="s">
        <v>39</v>
      </c>
      <c r="F98" t="s">
        <v>10</v>
      </c>
      <c r="G98" t="s">
        <v>124</v>
      </c>
      <c r="H98" t="s">
        <v>113</v>
      </c>
      <c r="I98" t="s">
        <v>142</v>
      </c>
      <c r="J98" t="s">
        <v>116</v>
      </c>
    </row>
    <row r="99" spans="1:10" hidden="1" x14ac:dyDescent="0.3">
      <c r="A99" t="s">
        <v>172</v>
      </c>
      <c r="B99" t="s">
        <v>37</v>
      </c>
      <c r="C99">
        <v>2</v>
      </c>
      <c r="D99">
        <v>1</v>
      </c>
      <c r="E99" t="s">
        <v>126</v>
      </c>
      <c r="F99" t="s">
        <v>38</v>
      </c>
      <c r="G99" t="s">
        <v>120</v>
      </c>
      <c r="H99" t="s">
        <v>106</v>
      </c>
      <c r="I99" t="s">
        <v>122</v>
      </c>
      <c r="J99" t="s">
        <v>116</v>
      </c>
    </row>
    <row r="100" spans="1:10" hidden="1" x14ac:dyDescent="0.3">
      <c r="A100" t="s">
        <v>172</v>
      </c>
      <c r="B100" t="s">
        <v>17</v>
      </c>
      <c r="C100">
        <v>2</v>
      </c>
      <c r="D100">
        <v>1</v>
      </c>
      <c r="E100" t="s">
        <v>27</v>
      </c>
      <c r="F100" t="s">
        <v>18</v>
      </c>
      <c r="G100" t="s">
        <v>121</v>
      </c>
      <c r="H100" t="s">
        <v>130</v>
      </c>
      <c r="I100" t="s">
        <v>153</v>
      </c>
      <c r="J100" t="s">
        <v>116</v>
      </c>
    </row>
    <row r="101" spans="1:10" hidden="1" x14ac:dyDescent="0.3">
      <c r="A101" t="s">
        <v>175</v>
      </c>
      <c r="B101" t="s">
        <v>27</v>
      </c>
      <c r="C101">
        <v>2</v>
      </c>
      <c r="D101">
        <v>1</v>
      </c>
      <c r="E101" t="s">
        <v>30</v>
      </c>
      <c r="F101" t="s">
        <v>28</v>
      </c>
      <c r="G101" t="s">
        <v>130</v>
      </c>
      <c r="H101" t="s">
        <v>109</v>
      </c>
      <c r="I101" t="s">
        <v>133</v>
      </c>
      <c r="J101" t="s">
        <v>116</v>
      </c>
    </row>
    <row r="102" spans="1:10" hidden="1" x14ac:dyDescent="0.3">
      <c r="A102" t="s">
        <v>175</v>
      </c>
      <c r="B102" t="s">
        <v>19</v>
      </c>
      <c r="C102">
        <v>1</v>
      </c>
      <c r="D102">
        <v>0</v>
      </c>
      <c r="E102" t="s">
        <v>42</v>
      </c>
      <c r="F102" t="s">
        <v>20</v>
      </c>
      <c r="G102" t="s">
        <v>129</v>
      </c>
      <c r="H102" t="s">
        <v>106</v>
      </c>
      <c r="I102" t="s">
        <v>131</v>
      </c>
      <c r="J102" t="s">
        <v>112</v>
      </c>
    </row>
    <row r="103" spans="1:10" hidden="1" x14ac:dyDescent="0.3">
      <c r="A103" t="s">
        <v>175</v>
      </c>
      <c r="B103" t="s">
        <v>39</v>
      </c>
      <c r="C103">
        <v>1</v>
      </c>
      <c r="D103">
        <v>1</v>
      </c>
      <c r="E103" t="s">
        <v>32</v>
      </c>
      <c r="F103" t="s">
        <v>40</v>
      </c>
      <c r="G103" t="s">
        <v>113</v>
      </c>
      <c r="H103" t="s">
        <v>117</v>
      </c>
      <c r="I103" t="s">
        <v>115</v>
      </c>
      <c r="J103" t="s">
        <v>116</v>
      </c>
    </row>
    <row r="104" spans="1:10" x14ac:dyDescent="0.3">
      <c r="A104" t="s">
        <v>175</v>
      </c>
      <c r="B104" t="s">
        <v>44</v>
      </c>
      <c r="C104">
        <v>2</v>
      </c>
      <c r="D104">
        <v>2</v>
      </c>
      <c r="E104" t="s">
        <v>17</v>
      </c>
      <c r="F104" t="s">
        <v>31</v>
      </c>
      <c r="G104" t="s">
        <v>109</v>
      </c>
      <c r="H104" t="s">
        <v>121</v>
      </c>
      <c r="I104" t="s">
        <v>111</v>
      </c>
      <c r="J104" t="s">
        <v>108</v>
      </c>
    </row>
    <row r="105" spans="1:10" hidden="1" x14ac:dyDescent="0.3">
      <c r="A105" t="s">
        <v>175</v>
      </c>
      <c r="B105" t="s">
        <v>23</v>
      </c>
      <c r="C105">
        <v>2</v>
      </c>
      <c r="D105">
        <v>1</v>
      </c>
      <c r="E105" t="s">
        <v>24</v>
      </c>
      <c r="F105" t="s">
        <v>18</v>
      </c>
      <c r="G105" t="s">
        <v>121</v>
      </c>
      <c r="H105" t="s">
        <v>105</v>
      </c>
      <c r="I105" t="s">
        <v>153</v>
      </c>
      <c r="J105" t="s">
        <v>116</v>
      </c>
    </row>
    <row r="106" spans="1:10" hidden="1" x14ac:dyDescent="0.3">
      <c r="A106" t="s">
        <v>175</v>
      </c>
      <c r="B106" t="s">
        <v>15</v>
      </c>
      <c r="C106">
        <v>0</v>
      </c>
      <c r="D106">
        <v>1</v>
      </c>
      <c r="E106" t="s">
        <v>12</v>
      </c>
      <c r="F106" t="s">
        <v>16</v>
      </c>
      <c r="G106" t="s">
        <v>110</v>
      </c>
      <c r="H106" t="s">
        <v>106</v>
      </c>
      <c r="I106" t="s">
        <v>135</v>
      </c>
      <c r="J106" t="s">
        <v>116</v>
      </c>
    </row>
    <row r="107" spans="1:10" hidden="1" x14ac:dyDescent="0.3">
      <c r="A107" t="s">
        <v>175</v>
      </c>
      <c r="B107" t="s">
        <v>126</v>
      </c>
      <c r="C107">
        <v>1</v>
      </c>
      <c r="D107">
        <v>2</v>
      </c>
      <c r="E107" t="s">
        <v>9</v>
      </c>
      <c r="F107" t="s">
        <v>13</v>
      </c>
      <c r="G107" t="s">
        <v>106</v>
      </c>
      <c r="H107" t="s">
        <v>124</v>
      </c>
      <c r="I107" t="s">
        <v>136</v>
      </c>
      <c r="J107" t="s">
        <v>108</v>
      </c>
    </row>
    <row r="108" spans="1:10" hidden="1" x14ac:dyDescent="0.3">
      <c r="A108" t="s">
        <v>175</v>
      </c>
      <c r="B108" t="s">
        <v>5</v>
      </c>
      <c r="C108">
        <v>4</v>
      </c>
      <c r="D108">
        <v>0</v>
      </c>
      <c r="E108" t="s">
        <v>35</v>
      </c>
      <c r="F108" t="s">
        <v>6</v>
      </c>
      <c r="G108" t="s">
        <v>127</v>
      </c>
      <c r="H108" t="s">
        <v>114</v>
      </c>
      <c r="I108" t="s">
        <v>176</v>
      </c>
      <c r="J108" t="s">
        <v>112</v>
      </c>
    </row>
    <row r="109" spans="1:10" hidden="1" x14ac:dyDescent="0.3">
      <c r="A109" t="s">
        <v>175</v>
      </c>
      <c r="B109" t="s">
        <v>26</v>
      </c>
      <c r="C109">
        <v>1</v>
      </c>
      <c r="D109">
        <v>0</v>
      </c>
      <c r="E109" t="s">
        <v>37</v>
      </c>
      <c r="F109" t="s">
        <v>18</v>
      </c>
      <c r="G109" t="s">
        <v>121</v>
      </c>
      <c r="H109" t="s">
        <v>120</v>
      </c>
      <c r="I109" t="s">
        <v>123</v>
      </c>
      <c r="J109" t="s">
        <v>112</v>
      </c>
    </row>
    <row r="110" spans="1:10" hidden="1" x14ac:dyDescent="0.3">
      <c r="A110" t="s">
        <v>177</v>
      </c>
      <c r="B110" t="s">
        <v>30</v>
      </c>
      <c r="C110">
        <v>3</v>
      </c>
      <c r="D110">
        <v>2</v>
      </c>
      <c r="E110" t="s">
        <v>39</v>
      </c>
      <c r="F110" t="s">
        <v>31</v>
      </c>
      <c r="G110" t="s">
        <v>109</v>
      </c>
      <c r="H110" t="s">
        <v>113</v>
      </c>
      <c r="I110" t="s">
        <v>146</v>
      </c>
      <c r="J110" t="s">
        <v>108</v>
      </c>
    </row>
    <row r="111" spans="1:10" hidden="1" x14ac:dyDescent="0.3">
      <c r="A111" t="s">
        <v>177</v>
      </c>
      <c r="B111" t="s">
        <v>5</v>
      </c>
      <c r="C111">
        <v>1</v>
      </c>
      <c r="D111">
        <v>0</v>
      </c>
      <c r="E111" t="s">
        <v>15</v>
      </c>
      <c r="F111" t="s">
        <v>6</v>
      </c>
      <c r="G111" t="s">
        <v>127</v>
      </c>
      <c r="H111" t="s">
        <v>110</v>
      </c>
      <c r="I111" t="s">
        <v>134</v>
      </c>
      <c r="J111" t="s">
        <v>112</v>
      </c>
    </row>
    <row r="112" spans="1:10" hidden="1" x14ac:dyDescent="0.3">
      <c r="A112" t="s">
        <v>177</v>
      </c>
      <c r="B112" t="s">
        <v>17</v>
      </c>
      <c r="C112">
        <v>1</v>
      </c>
      <c r="D112">
        <v>0</v>
      </c>
      <c r="E112" t="s">
        <v>19</v>
      </c>
      <c r="F112" t="s">
        <v>18</v>
      </c>
      <c r="G112" t="s">
        <v>121</v>
      </c>
      <c r="H112" t="s">
        <v>129</v>
      </c>
      <c r="I112" t="s">
        <v>123</v>
      </c>
      <c r="J112" t="s">
        <v>112</v>
      </c>
    </row>
    <row r="113" spans="1:10" hidden="1" x14ac:dyDescent="0.3">
      <c r="A113" t="s">
        <v>177</v>
      </c>
      <c r="B113" t="s">
        <v>12</v>
      </c>
      <c r="C113">
        <v>2</v>
      </c>
      <c r="D113">
        <v>1</v>
      </c>
      <c r="E113" t="s">
        <v>27</v>
      </c>
      <c r="F113" t="s">
        <v>13</v>
      </c>
      <c r="G113" t="s">
        <v>106</v>
      </c>
      <c r="H113" t="s">
        <v>130</v>
      </c>
      <c r="I113" t="s">
        <v>128</v>
      </c>
      <c r="J113" t="s">
        <v>116</v>
      </c>
    </row>
    <row r="114" spans="1:10" hidden="1" x14ac:dyDescent="0.3">
      <c r="A114" t="s">
        <v>177</v>
      </c>
      <c r="B114" t="s">
        <v>42</v>
      </c>
      <c r="C114">
        <v>2</v>
      </c>
      <c r="D114">
        <v>2</v>
      </c>
      <c r="E114" t="s">
        <v>23</v>
      </c>
      <c r="F114" t="s">
        <v>13</v>
      </c>
      <c r="G114" t="s">
        <v>106</v>
      </c>
      <c r="H114" t="s">
        <v>121</v>
      </c>
      <c r="I114" t="s">
        <v>128</v>
      </c>
      <c r="J114" t="s">
        <v>108</v>
      </c>
    </row>
    <row r="115" spans="1:10" hidden="1" x14ac:dyDescent="0.3">
      <c r="A115" t="s">
        <v>177</v>
      </c>
      <c r="B115" t="s">
        <v>32</v>
      </c>
      <c r="C115">
        <v>1</v>
      </c>
      <c r="D115">
        <v>4</v>
      </c>
      <c r="E115" t="s">
        <v>126</v>
      </c>
      <c r="F115" t="s">
        <v>33</v>
      </c>
      <c r="G115" t="s">
        <v>117</v>
      </c>
      <c r="H115" t="s">
        <v>106</v>
      </c>
      <c r="I115" t="s">
        <v>136</v>
      </c>
      <c r="J115" t="s">
        <v>160</v>
      </c>
    </row>
    <row r="116" spans="1:10" hidden="1" x14ac:dyDescent="0.3">
      <c r="A116" t="s">
        <v>177</v>
      </c>
      <c r="B116" t="s">
        <v>9</v>
      </c>
      <c r="C116">
        <v>4</v>
      </c>
      <c r="D116">
        <v>1</v>
      </c>
      <c r="E116" t="s">
        <v>24</v>
      </c>
      <c r="F116" t="s">
        <v>10</v>
      </c>
      <c r="G116" t="s">
        <v>124</v>
      </c>
      <c r="H116" t="s">
        <v>105</v>
      </c>
      <c r="I116" t="s">
        <v>178</v>
      </c>
      <c r="J116" t="s">
        <v>116</v>
      </c>
    </row>
    <row r="117" spans="1:10" hidden="1" x14ac:dyDescent="0.3">
      <c r="A117" t="s">
        <v>177</v>
      </c>
      <c r="B117" t="s">
        <v>37</v>
      </c>
      <c r="C117">
        <v>2</v>
      </c>
      <c r="D117">
        <v>0</v>
      </c>
      <c r="E117" t="s">
        <v>44</v>
      </c>
      <c r="F117" t="s">
        <v>38</v>
      </c>
      <c r="G117" t="s">
        <v>120</v>
      </c>
      <c r="H117" t="s">
        <v>109</v>
      </c>
      <c r="I117" t="s">
        <v>122</v>
      </c>
      <c r="J117" t="s">
        <v>112</v>
      </c>
    </row>
    <row r="118" spans="1:10" hidden="1" x14ac:dyDescent="0.3">
      <c r="A118" t="s">
        <v>177</v>
      </c>
      <c r="B118" t="s">
        <v>35</v>
      </c>
      <c r="C118">
        <v>0</v>
      </c>
      <c r="D118">
        <v>1</v>
      </c>
      <c r="E118" t="s">
        <v>26</v>
      </c>
      <c r="F118" t="s">
        <v>36</v>
      </c>
      <c r="G118" t="s">
        <v>114</v>
      </c>
      <c r="H118" t="s">
        <v>121</v>
      </c>
      <c r="I118" t="s">
        <v>179</v>
      </c>
      <c r="J118" t="s">
        <v>116</v>
      </c>
    </row>
    <row r="119" spans="1:10" x14ac:dyDescent="0.3">
      <c r="A119" t="s">
        <v>180</v>
      </c>
      <c r="B119" t="s">
        <v>44</v>
      </c>
      <c r="C119">
        <v>1</v>
      </c>
      <c r="D119">
        <v>2</v>
      </c>
      <c r="E119" t="s">
        <v>30</v>
      </c>
      <c r="F119" t="s">
        <v>31</v>
      </c>
      <c r="G119" t="s">
        <v>109</v>
      </c>
      <c r="H119" t="s">
        <v>109</v>
      </c>
      <c r="I119" t="s">
        <v>139</v>
      </c>
      <c r="J119" t="s">
        <v>108</v>
      </c>
    </row>
    <row r="120" spans="1:10" hidden="1" x14ac:dyDescent="0.3">
      <c r="A120" t="s">
        <v>180</v>
      </c>
      <c r="B120" t="s">
        <v>27</v>
      </c>
      <c r="C120">
        <v>2</v>
      </c>
      <c r="D120">
        <v>2</v>
      </c>
      <c r="E120" t="s">
        <v>5</v>
      </c>
      <c r="F120" t="s">
        <v>28</v>
      </c>
      <c r="G120" t="s">
        <v>130</v>
      </c>
      <c r="H120" t="s">
        <v>127</v>
      </c>
      <c r="I120" t="s">
        <v>133</v>
      </c>
      <c r="J120" t="s">
        <v>108</v>
      </c>
    </row>
    <row r="121" spans="1:10" hidden="1" x14ac:dyDescent="0.3">
      <c r="A121" t="s">
        <v>180</v>
      </c>
      <c r="B121" t="s">
        <v>15</v>
      </c>
      <c r="C121">
        <v>1</v>
      </c>
      <c r="D121">
        <v>2</v>
      </c>
      <c r="E121" t="s">
        <v>17</v>
      </c>
      <c r="F121" t="s">
        <v>16</v>
      </c>
      <c r="G121" t="s">
        <v>110</v>
      </c>
      <c r="H121" t="s">
        <v>121</v>
      </c>
      <c r="I121" t="s">
        <v>115</v>
      </c>
      <c r="J121" t="s">
        <v>108</v>
      </c>
    </row>
    <row r="122" spans="1:10" hidden="1" x14ac:dyDescent="0.3">
      <c r="A122" t="s">
        <v>180</v>
      </c>
      <c r="B122" t="s">
        <v>12</v>
      </c>
      <c r="C122">
        <v>1</v>
      </c>
      <c r="D122">
        <v>1</v>
      </c>
      <c r="E122" t="s">
        <v>42</v>
      </c>
      <c r="F122" t="s">
        <v>13</v>
      </c>
      <c r="G122" t="s">
        <v>106</v>
      </c>
      <c r="H122" t="s">
        <v>106</v>
      </c>
      <c r="I122" t="s">
        <v>136</v>
      </c>
      <c r="J122" t="s">
        <v>116</v>
      </c>
    </row>
    <row r="123" spans="1:10" hidden="1" x14ac:dyDescent="0.3">
      <c r="A123" t="s">
        <v>180</v>
      </c>
      <c r="B123" t="s">
        <v>24</v>
      </c>
      <c r="C123">
        <v>2</v>
      </c>
      <c r="D123">
        <v>1</v>
      </c>
      <c r="E123" t="s">
        <v>32</v>
      </c>
      <c r="F123" t="s">
        <v>25</v>
      </c>
      <c r="G123" t="s">
        <v>105</v>
      </c>
      <c r="H123" t="s">
        <v>117</v>
      </c>
      <c r="I123" t="s">
        <v>143</v>
      </c>
      <c r="J123" t="s">
        <v>116</v>
      </c>
    </row>
    <row r="124" spans="1:10" hidden="1" x14ac:dyDescent="0.3">
      <c r="A124" t="s">
        <v>180</v>
      </c>
      <c r="B124" t="s">
        <v>19</v>
      </c>
      <c r="C124">
        <v>1</v>
      </c>
      <c r="D124">
        <v>1</v>
      </c>
      <c r="E124" t="s">
        <v>37</v>
      </c>
      <c r="F124" t="s">
        <v>20</v>
      </c>
      <c r="G124" t="s">
        <v>129</v>
      </c>
      <c r="H124" t="s">
        <v>120</v>
      </c>
      <c r="I124" t="s">
        <v>131</v>
      </c>
      <c r="J124" t="s">
        <v>116</v>
      </c>
    </row>
    <row r="125" spans="1:10" hidden="1" x14ac:dyDescent="0.3">
      <c r="A125" t="s">
        <v>180</v>
      </c>
      <c r="B125" t="s">
        <v>23</v>
      </c>
      <c r="C125">
        <v>1</v>
      </c>
      <c r="D125">
        <v>1</v>
      </c>
      <c r="E125" t="s">
        <v>35</v>
      </c>
      <c r="F125" t="s">
        <v>18</v>
      </c>
      <c r="G125" t="s">
        <v>121</v>
      </c>
      <c r="H125" t="s">
        <v>114</v>
      </c>
      <c r="I125" t="s">
        <v>123</v>
      </c>
      <c r="J125" t="s">
        <v>116</v>
      </c>
    </row>
    <row r="126" spans="1:10" hidden="1" x14ac:dyDescent="0.3">
      <c r="A126" t="s">
        <v>180</v>
      </c>
      <c r="B126" t="s">
        <v>26</v>
      </c>
      <c r="C126">
        <v>2</v>
      </c>
      <c r="D126">
        <v>1</v>
      </c>
      <c r="E126" t="s">
        <v>9</v>
      </c>
      <c r="F126" t="s">
        <v>18</v>
      </c>
      <c r="G126" t="s">
        <v>121</v>
      </c>
      <c r="H126" t="s">
        <v>124</v>
      </c>
      <c r="I126" t="s">
        <v>153</v>
      </c>
      <c r="J126" t="s">
        <v>116</v>
      </c>
    </row>
    <row r="127" spans="1:10" hidden="1" x14ac:dyDescent="0.3">
      <c r="A127" t="s">
        <v>180</v>
      </c>
      <c r="B127" t="s">
        <v>39</v>
      </c>
      <c r="C127">
        <v>0</v>
      </c>
      <c r="D127">
        <v>0</v>
      </c>
      <c r="E127" t="s">
        <v>126</v>
      </c>
      <c r="F127" t="s">
        <v>40</v>
      </c>
      <c r="G127" t="s">
        <v>113</v>
      </c>
      <c r="H127" t="s">
        <v>106</v>
      </c>
      <c r="I127" t="s">
        <v>135</v>
      </c>
      <c r="J127" t="s">
        <v>112</v>
      </c>
    </row>
    <row r="128" spans="1:10" hidden="1" x14ac:dyDescent="0.3">
      <c r="A128" t="s">
        <v>181</v>
      </c>
      <c r="B128" t="s">
        <v>30</v>
      </c>
      <c r="C128">
        <v>3</v>
      </c>
      <c r="D128">
        <v>1</v>
      </c>
      <c r="E128" t="s">
        <v>42</v>
      </c>
      <c r="F128" t="s">
        <v>31</v>
      </c>
      <c r="G128" t="s">
        <v>109</v>
      </c>
      <c r="H128" t="s">
        <v>106</v>
      </c>
      <c r="I128" t="s">
        <v>146</v>
      </c>
      <c r="J128" t="s">
        <v>116</v>
      </c>
    </row>
    <row r="129" spans="1:10" hidden="1" x14ac:dyDescent="0.3">
      <c r="A129" t="s">
        <v>181</v>
      </c>
      <c r="B129" t="s">
        <v>126</v>
      </c>
      <c r="C129">
        <v>0</v>
      </c>
      <c r="D129">
        <v>1</v>
      </c>
      <c r="E129" t="s">
        <v>15</v>
      </c>
      <c r="F129" t="s">
        <v>13</v>
      </c>
      <c r="G129" t="s">
        <v>106</v>
      </c>
      <c r="H129" t="s">
        <v>110</v>
      </c>
      <c r="I129" t="s">
        <v>141</v>
      </c>
      <c r="J129" t="s">
        <v>116</v>
      </c>
    </row>
    <row r="130" spans="1:10" hidden="1" x14ac:dyDescent="0.3">
      <c r="A130" t="s">
        <v>181</v>
      </c>
      <c r="B130" t="s">
        <v>37</v>
      </c>
      <c r="C130">
        <v>4</v>
      </c>
      <c r="D130">
        <v>1</v>
      </c>
      <c r="E130" t="s">
        <v>24</v>
      </c>
      <c r="F130" t="s">
        <v>38</v>
      </c>
      <c r="G130" t="s">
        <v>120</v>
      </c>
      <c r="H130" t="s">
        <v>105</v>
      </c>
      <c r="I130" t="s">
        <v>144</v>
      </c>
      <c r="J130" t="s">
        <v>116</v>
      </c>
    </row>
    <row r="131" spans="1:10" hidden="1" x14ac:dyDescent="0.3">
      <c r="A131" t="s">
        <v>181</v>
      </c>
      <c r="B131" t="s">
        <v>32</v>
      </c>
      <c r="C131">
        <v>0</v>
      </c>
      <c r="D131">
        <v>2</v>
      </c>
      <c r="E131" t="s">
        <v>9</v>
      </c>
      <c r="F131" t="s">
        <v>33</v>
      </c>
      <c r="G131" t="s">
        <v>117</v>
      </c>
      <c r="H131" t="s">
        <v>124</v>
      </c>
      <c r="I131" t="s">
        <v>141</v>
      </c>
      <c r="J131" t="s">
        <v>108</v>
      </c>
    </row>
    <row r="132" spans="1:10" hidden="1" x14ac:dyDescent="0.3">
      <c r="A132" t="s">
        <v>181</v>
      </c>
      <c r="B132" t="s">
        <v>17</v>
      </c>
      <c r="C132">
        <v>0</v>
      </c>
      <c r="D132">
        <v>1</v>
      </c>
      <c r="E132" t="s">
        <v>12</v>
      </c>
      <c r="F132" t="s">
        <v>18</v>
      </c>
      <c r="G132" t="s">
        <v>121</v>
      </c>
      <c r="H132" t="s">
        <v>106</v>
      </c>
      <c r="I132" t="s">
        <v>182</v>
      </c>
      <c r="J132" t="s">
        <v>116</v>
      </c>
    </row>
    <row r="133" spans="1:10" hidden="1" x14ac:dyDescent="0.3">
      <c r="A133" t="s">
        <v>181</v>
      </c>
      <c r="B133" t="s">
        <v>39</v>
      </c>
      <c r="C133">
        <v>1</v>
      </c>
      <c r="D133">
        <v>0</v>
      </c>
      <c r="E133" t="s">
        <v>23</v>
      </c>
      <c r="F133" t="s">
        <v>40</v>
      </c>
      <c r="G133" t="s">
        <v>113</v>
      </c>
      <c r="H133" t="s">
        <v>121</v>
      </c>
      <c r="I133" t="s">
        <v>115</v>
      </c>
      <c r="J133" t="s">
        <v>112</v>
      </c>
    </row>
    <row r="134" spans="1:10" hidden="1" x14ac:dyDescent="0.3">
      <c r="A134" t="s">
        <v>181</v>
      </c>
      <c r="B134" t="s">
        <v>5</v>
      </c>
      <c r="C134">
        <v>2</v>
      </c>
      <c r="D134">
        <v>0</v>
      </c>
      <c r="E134" t="s">
        <v>19</v>
      </c>
      <c r="F134" t="s">
        <v>6</v>
      </c>
      <c r="G134" t="s">
        <v>127</v>
      </c>
      <c r="H134" t="s">
        <v>129</v>
      </c>
      <c r="I134" t="s">
        <v>147</v>
      </c>
      <c r="J134" t="s">
        <v>112</v>
      </c>
    </row>
    <row r="135" spans="1:10" hidden="1" x14ac:dyDescent="0.3">
      <c r="A135" t="s">
        <v>181</v>
      </c>
      <c r="B135" t="s">
        <v>26</v>
      </c>
      <c r="C135">
        <v>2</v>
      </c>
      <c r="D135">
        <v>0</v>
      </c>
      <c r="E135" t="s">
        <v>44</v>
      </c>
      <c r="F135" t="s">
        <v>18</v>
      </c>
      <c r="G135" t="s">
        <v>121</v>
      </c>
      <c r="H135" t="s">
        <v>109</v>
      </c>
      <c r="I135" t="s">
        <v>153</v>
      </c>
      <c r="J135" t="s">
        <v>112</v>
      </c>
    </row>
    <row r="136" spans="1:10" hidden="1" x14ac:dyDescent="0.3">
      <c r="A136" t="s">
        <v>181</v>
      </c>
      <c r="B136" t="s">
        <v>35</v>
      </c>
      <c r="C136">
        <v>1</v>
      </c>
      <c r="D136">
        <v>0</v>
      </c>
      <c r="E136" t="s">
        <v>27</v>
      </c>
      <c r="F136" t="s">
        <v>36</v>
      </c>
      <c r="G136" t="s">
        <v>114</v>
      </c>
      <c r="H136" t="s">
        <v>130</v>
      </c>
      <c r="I136" t="s">
        <v>137</v>
      </c>
      <c r="J136" t="s">
        <v>112</v>
      </c>
    </row>
    <row r="137" spans="1:10" hidden="1" x14ac:dyDescent="0.3">
      <c r="A137" t="s">
        <v>183</v>
      </c>
      <c r="B137" t="s">
        <v>32</v>
      </c>
      <c r="C137">
        <v>1</v>
      </c>
      <c r="D137">
        <v>1</v>
      </c>
      <c r="E137" t="s">
        <v>37</v>
      </c>
      <c r="F137" t="s">
        <v>33</v>
      </c>
      <c r="G137" t="s">
        <v>117</v>
      </c>
      <c r="H137" t="s">
        <v>120</v>
      </c>
      <c r="I137" t="s">
        <v>136</v>
      </c>
      <c r="J137" t="s">
        <v>116</v>
      </c>
    </row>
    <row r="138" spans="1:10" hidden="1" x14ac:dyDescent="0.3">
      <c r="A138" t="s">
        <v>183</v>
      </c>
      <c r="B138" t="s">
        <v>27</v>
      </c>
      <c r="C138">
        <v>0</v>
      </c>
      <c r="D138">
        <v>0</v>
      </c>
      <c r="E138" t="s">
        <v>126</v>
      </c>
      <c r="F138" t="s">
        <v>28</v>
      </c>
      <c r="G138" t="s">
        <v>130</v>
      </c>
      <c r="H138" t="s">
        <v>106</v>
      </c>
      <c r="I138" t="s">
        <v>184</v>
      </c>
      <c r="J138" t="s">
        <v>112</v>
      </c>
    </row>
    <row r="139" spans="1:10" x14ac:dyDescent="0.3">
      <c r="A139" t="s">
        <v>183</v>
      </c>
      <c r="B139" t="s">
        <v>44</v>
      </c>
      <c r="C139">
        <v>0</v>
      </c>
      <c r="D139">
        <v>0</v>
      </c>
      <c r="E139" t="s">
        <v>39</v>
      </c>
      <c r="F139" t="s">
        <v>31</v>
      </c>
      <c r="G139" t="s">
        <v>109</v>
      </c>
      <c r="H139" t="s">
        <v>113</v>
      </c>
      <c r="I139" t="s">
        <v>154</v>
      </c>
      <c r="J139" t="s">
        <v>112</v>
      </c>
    </row>
    <row r="140" spans="1:10" hidden="1" x14ac:dyDescent="0.3">
      <c r="A140" t="s">
        <v>183</v>
      </c>
      <c r="B140" t="s">
        <v>23</v>
      </c>
      <c r="C140">
        <v>1</v>
      </c>
      <c r="D140">
        <v>0</v>
      </c>
      <c r="E140" t="s">
        <v>15</v>
      </c>
      <c r="F140" t="s">
        <v>18</v>
      </c>
      <c r="G140" t="s">
        <v>121</v>
      </c>
      <c r="H140" t="s">
        <v>110</v>
      </c>
      <c r="I140" t="s">
        <v>123</v>
      </c>
      <c r="J140" t="s">
        <v>112</v>
      </c>
    </row>
    <row r="141" spans="1:10" hidden="1" x14ac:dyDescent="0.3">
      <c r="A141" t="s">
        <v>183</v>
      </c>
      <c r="B141" t="s">
        <v>12</v>
      </c>
      <c r="C141">
        <v>3</v>
      </c>
      <c r="D141">
        <v>0</v>
      </c>
      <c r="E141" t="s">
        <v>35</v>
      </c>
      <c r="F141" t="s">
        <v>13</v>
      </c>
      <c r="G141" t="s">
        <v>106</v>
      </c>
      <c r="H141" t="s">
        <v>114</v>
      </c>
      <c r="I141" t="s">
        <v>158</v>
      </c>
      <c r="J141" t="s">
        <v>112</v>
      </c>
    </row>
    <row r="142" spans="1:10" hidden="1" x14ac:dyDescent="0.3">
      <c r="A142" t="s">
        <v>183</v>
      </c>
      <c r="B142" t="s">
        <v>42</v>
      </c>
      <c r="C142">
        <v>2</v>
      </c>
      <c r="D142">
        <v>1</v>
      </c>
      <c r="E142" t="s">
        <v>5</v>
      </c>
      <c r="F142" t="s">
        <v>13</v>
      </c>
      <c r="G142" t="s">
        <v>106</v>
      </c>
      <c r="H142" t="s">
        <v>127</v>
      </c>
      <c r="I142" t="s">
        <v>128</v>
      </c>
      <c r="J142" t="s">
        <v>116</v>
      </c>
    </row>
    <row r="143" spans="1:10" hidden="1" x14ac:dyDescent="0.3">
      <c r="A143" t="s">
        <v>183</v>
      </c>
      <c r="B143" t="s">
        <v>24</v>
      </c>
      <c r="C143">
        <v>2</v>
      </c>
      <c r="D143">
        <v>2</v>
      </c>
      <c r="E143" t="s">
        <v>17</v>
      </c>
      <c r="F143" t="s">
        <v>25</v>
      </c>
      <c r="G143" t="s">
        <v>105</v>
      </c>
      <c r="H143" t="s">
        <v>121</v>
      </c>
      <c r="I143" t="s">
        <v>143</v>
      </c>
      <c r="J143" t="s">
        <v>108</v>
      </c>
    </row>
    <row r="144" spans="1:10" hidden="1" x14ac:dyDescent="0.3">
      <c r="A144" t="s">
        <v>183</v>
      </c>
      <c r="B144" t="s">
        <v>9</v>
      </c>
      <c r="C144">
        <v>1</v>
      </c>
      <c r="D144">
        <v>1</v>
      </c>
      <c r="E144" t="s">
        <v>30</v>
      </c>
      <c r="F144" t="s">
        <v>10</v>
      </c>
      <c r="G144" t="s">
        <v>124</v>
      </c>
      <c r="H144" t="s">
        <v>109</v>
      </c>
      <c r="I144" t="s">
        <v>125</v>
      </c>
      <c r="J144" t="s">
        <v>116</v>
      </c>
    </row>
    <row r="145" spans="1:10" hidden="1" x14ac:dyDescent="0.3">
      <c r="A145" t="s">
        <v>183</v>
      </c>
      <c r="B145" t="s">
        <v>19</v>
      </c>
      <c r="C145">
        <v>0</v>
      </c>
      <c r="D145">
        <v>0</v>
      </c>
      <c r="E145" t="s">
        <v>26</v>
      </c>
      <c r="F145" t="s">
        <v>20</v>
      </c>
      <c r="G145" t="s">
        <v>129</v>
      </c>
      <c r="H145" t="s">
        <v>121</v>
      </c>
      <c r="I145" t="s">
        <v>164</v>
      </c>
      <c r="J145" t="s">
        <v>112</v>
      </c>
    </row>
    <row r="146" spans="1:10" hidden="1" x14ac:dyDescent="0.3">
      <c r="A146" t="s">
        <v>185</v>
      </c>
      <c r="B146" t="s">
        <v>15</v>
      </c>
      <c r="C146">
        <v>1</v>
      </c>
      <c r="D146">
        <v>0</v>
      </c>
      <c r="E146" t="s">
        <v>27</v>
      </c>
      <c r="F146" t="s">
        <v>16</v>
      </c>
      <c r="G146" t="s">
        <v>110</v>
      </c>
      <c r="H146" t="s">
        <v>130</v>
      </c>
      <c r="I146" t="s">
        <v>115</v>
      </c>
      <c r="J146" t="s">
        <v>112</v>
      </c>
    </row>
    <row r="147" spans="1:10" hidden="1" x14ac:dyDescent="0.3">
      <c r="A147" t="s">
        <v>185</v>
      </c>
      <c r="B147" t="s">
        <v>5</v>
      </c>
      <c r="C147">
        <v>1</v>
      </c>
      <c r="D147">
        <v>2</v>
      </c>
      <c r="E147" t="s">
        <v>23</v>
      </c>
      <c r="F147" t="s">
        <v>6</v>
      </c>
      <c r="G147" t="s">
        <v>127</v>
      </c>
      <c r="H147" t="s">
        <v>121</v>
      </c>
      <c r="I147" t="s">
        <v>134</v>
      </c>
      <c r="J147" t="s">
        <v>108</v>
      </c>
    </row>
    <row r="148" spans="1:10" hidden="1" x14ac:dyDescent="0.3">
      <c r="A148" t="s">
        <v>185</v>
      </c>
      <c r="B148" t="s">
        <v>26</v>
      </c>
      <c r="C148">
        <v>4</v>
      </c>
      <c r="D148">
        <v>1</v>
      </c>
      <c r="E148" t="s">
        <v>32</v>
      </c>
      <c r="F148" t="s">
        <v>18</v>
      </c>
      <c r="G148" t="s">
        <v>121</v>
      </c>
      <c r="H148" t="s">
        <v>117</v>
      </c>
      <c r="I148" t="s">
        <v>186</v>
      </c>
      <c r="J148" t="s">
        <v>116</v>
      </c>
    </row>
    <row r="149" spans="1:10" hidden="1" x14ac:dyDescent="0.3">
      <c r="A149" t="s">
        <v>185</v>
      </c>
      <c r="B149" t="s">
        <v>39</v>
      </c>
      <c r="C149">
        <v>1</v>
      </c>
      <c r="D149">
        <v>0</v>
      </c>
      <c r="E149" t="s">
        <v>19</v>
      </c>
      <c r="F149" t="s">
        <v>40</v>
      </c>
      <c r="G149" t="s">
        <v>113</v>
      </c>
      <c r="H149" t="s">
        <v>129</v>
      </c>
      <c r="I149" t="s">
        <v>115</v>
      </c>
      <c r="J149" t="s">
        <v>112</v>
      </c>
    </row>
    <row r="150" spans="1:10" hidden="1" x14ac:dyDescent="0.3">
      <c r="A150" t="s">
        <v>185</v>
      </c>
      <c r="B150" t="s">
        <v>126</v>
      </c>
      <c r="C150">
        <v>2</v>
      </c>
      <c r="D150">
        <v>1</v>
      </c>
      <c r="E150" t="s">
        <v>24</v>
      </c>
      <c r="F150" t="s">
        <v>13</v>
      </c>
      <c r="G150" t="s">
        <v>106</v>
      </c>
      <c r="H150" t="s">
        <v>105</v>
      </c>
      <c r="I150" t="s">
        <v>128</v>
      </c>
      <c r="J150" t="s">
        <v>116</v>
      </c>
    </row>
    <row r="151" spans="1:10" hidden="1" x14ac:dyDescent="0.3">
      <c r="A151" t="s">
        <v>185</v>
      </c>
      <c r="B151" t="s">
        <v>37</v>
      </c>
      <c r="C151">
        <v>3</v>
      </c>
      <c r="D151">
        <v>1</v>
      </c>
      <c r="E151" t="s">
        <v>9</v>
      </c>
      <c r="F151" t="s">
        <v>38</v>
      </c>
      <c r="G151" t="s">
        <v>120</v>
      </c>
      <c r="H151" t="s">
        <v>124</v>
      </c>
      <c r="I151" t="s">
        <v>187</v>
      </c>
      <c r="J151" t="s">
        <v>116</v>
      </c>
    </row>
    <row r="152" spans="1:10" hidden="1" x14ac:dyDescent="0.3">
      <c r="A152" t="s">
        <v>185</v>
      </c>
      <c r="B152" t="s">
        <v>30</v>
      </c>
      <c r="C152">
        <v>1</v>
      </c>
      <c r="D152">
        <v>1</v>
      </c>
      <c r="E152" t="s">
        <v>12</v>
      </c>
      <c r="F152" t="s">
        <v>31</v>
      </c>
      <c r="G152" t="s">
        <v>109</v>
      </c>
      <c r="H152" t="s">
        <v>106</v>
      </c>
      <c r="I152" t="s">
        <v>139</v>
      </c>
      <c r="J152" t="s">
        <v>116</v>
      </c>
    </row>
    <row r="153" spans="1:10" hidden="1" x14ac:dyDescent="0.3">
      <c r="A153" t="s">
        <v>185</v>
      </c>
      <c r="B153" t="s">
        <v>35</v>
      </c>
      <c r="C153">
        <v>2</v>
      </c>
      <c r="D153">
        <v>2</v>
      </c>
      <c r="E153" t="s">
        <v>44</v>
      </c>
      <c r="F153" t="s">
        <v>36</v>
      </c>
      <c r="G153" t="s">
        <v>114</v>
      </c>
      <c r="H153" t="s">
        <v>109</v>
      </c>
      <c r="I153" t="s">
        <v>173</v>
      </c>
      <c r="J153" t="s">
        <v>108</v>
      </c>
    </row>
    <row r="154" spans="1:10" hidden="1" x14ac:dyDescent="0.3">
      <c r="A154" t="s">
        <v>185</v>
      </c>
      <c r="B154" t="s">
        <v>17</v>
      </c>
      <c r="C154">
        <v>3</v>
      </c>
      <c r="D154">
        <v>2</v>
      </c>
      <c r="E154" t="s">
        <v>42</v>
      </c>
      <c r="F154" t="s">
        <v>18</v>
      </c>
      <c r="G154" t="s">
        <v>121</v>
      </c>
      <c r="H154" t="s">
        <v>106</v>
      </c>
      <c r="I154" t="s">
        <v>149</v>
      </c>
      <c r="J154" t="s">
        <v>108</v>
      </c>
    </row>
  </sheetData>
  <autoFilter ref="A1:J154" xr:uid="{E8E6473D-C757-484F-9FA5-8661D29BA6C6}">
    <filterColumn colId="1">
      <filters>
        <filter val="UTC Cajamarca"/>
      </filters>
    </filterColumn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73F97-1671-40E2-81D9-BD3BE86FED8A}">
  <dimension ref="A1:J73"/>
  <sheetViews>
    <sheetView workbookViewId="0">
      <pane ySplit="1" topLeftCell="A35" activePane="bottomLeft" state="frozen"/>
      <selection pane="bottomLeft" activeCell="B37" sqref="B37"/>
    </sheetView>
  </sheetViews>
  <sheetFormatPr baseColWidth="10" defaultRowHeight="14.4" x14ac:dyDescent="0.3"/>
  <cols>
    <col min="1" max="1" width="9.33203125" bestFit="1" customWidth="1"/>
    <col min="2" max="2" width="19.88671875" bestFit="1" customWidth="1"/>
    <col min="3" max="3" width="11.5546875" bestFit="1" customWidth="1"/>
    <col min="4" max="4" width="12.109375" bestFit="1" customWidth="1"/>
    <col min="5" max="5" width="19.88671875" bestFit="1" customWidth="1"/>
    <col min="6" max="6" width="12.33203125" bestFit="1" customWidth="1"/>
    <col min="7" max="7" width="12.5546875" bestFit="1" customWidth="1"/>
    <col min="8" max="8" width="13.109375" bestFit="1" customWidth="1"/>
    <col min="9" max="9" width="8.88671875" bestFit="1" customWidth="1"/>
    <col min="10" max="10" width="9.44140625" bestFit="1" customWidth="1"/>
  </cols>
  <sheetData>
    <row r="1" spans="1:10" s="1" customFormat="1" x14ac:dyDescent="0.3">
      <c r="A1" s="1" t="s">
        <v>45</v>
      </c>
      <c r="B1" s="1" t="s">
        <v>47</v>
      </c>
      <c r="C1" s="1" t="s">
        <v>68</v>
      </c>
      <c r="D1" s="1" t="s">
        <v>69</v>
      </c>
      <c r="E1" s="1" t="s">
        <v>48</v>
      </c>
      <c r="F1" s="1" t="s">
        <v>1</v>
      </c>
      <c r="G1" s="1" t="s">
        <v>50</v>
      </c>
      <c r="H1" s="1" t="s">
        <v>51</v>
      </c>
      <c r="I1" s="1" t="s">
        <v>70</v>
      </c>
      <c r="J1" s="1" t="s">
        <v>71</v>
      </c>
    </row>
    <row r="2" spans="1:10" x14ac:dyDescent="0.3">
      <c r="A2" t="s">
        <v>72</v>
      </c>
      <c r="B2" t="s">
        <v>30</v>
      </c>
      <c r="C2">
        <v>2</v>
      </c>
      <c r="D2">
        <v>2</v>
      </c>
      <c r="E2" t="s">
        <v>32</v>
      </c>
      <c r="F2" t="s">
        <v>31</v>
      </c>
      <c r="G2">
        <v>2750</v>
      </c>
      <c r="H2">
        <v>150</v>
      </c>
      <c r="I2">
        <v>2.0499999999999998</v>
      </c>
      <c r="J2">
        <v>1.95</v>
      </c>
    </row>
    <row r="3" spans="1:10" x14ac:dyDescent="0.3">
      <c r="A3" t="s">
        <v>72</v>
      </c>
      <c r="B3" t="s">
        <v>42</v>
      </c>
      <c r="C3">
        <v>1</v>
      </c>
      <c r="D3">
        <v>0</v>
      </c>
      <c r="E3" t="s">
        <v>26</v>
      </c>
      <c r="F3" t="s">
        <v>13</v>
      </c>
      <c r="G3">
        <v>150</v>
      </c>
      <c r="H3">
        <v>3399</v>
      </c>
      <c r="I3">
        <v>1.2</v>
      </c>
      <c r="J3">
        <v>0.25</v>
      </c>
    </row>
    <row r="4" spans="1:10" x14ac:dyDescent="0.3">
      <c r="A4" t="s">
        <v>72</v>
      </c>
      <c r="B4" t="s">
        <v>17</v>
      </c>
      <c r="C4">
        <v>1</v>
      </c>
      <c r="D4">
        <v>3</v>
      </c>
      <c r="E4" t="s">
        <v>37</v>
      </c>
      <c r="F4" t="s">
        <v>18</v>
      </c>
      <c r="G4">
        <v>3399</v>
      </c>
      <c r="H4">
        <v>2335</v>
      </c>
      <c r="I4">
        <v>1.2</v>
      </c>
      <c r="J4">
        <v>2.8</v>
      </c>
    </row>
    <row r="5" spans="1:10" x14ac:dyDescent="0.3">
      <c r="A5" t="s">
        <v>72</v>
      </c>
      <c r="B5" t="s">
        <v>27</v>
      </c>
      <c r="C5">
        <v>2</v>
      </c>
      <c r="D5">
        <v>2</v>
      </c>
      <c r="E5" t="s">
        <v>19</v>
      </c>
      <c r="F5" t="s">
        <v>28</v>
      </c>
      <c r="G5">
        <v>1410</v>
      </c>
      <c r="H5">
        <v>2620</v>
      </c>
      <c r="I5">
        <v>2.0499999999999998</v>
      </c>
      <c r="J5">
        <v>1.95</v>
      </c>
    </row>
    <row r="6" spans="1:10" x14ac:dyDescent="0.3">
      <c r="A6" t="s">
        <v>72</v>
      </c>
      <c r="B6" t="s">
        <v>5</v>
      </c>
      <c r="C6">
        <v>1</v>
      </c>
      <c r="D6">
        <v>2</v>
      </c>
      <c r="E6" t="s">
        <v>43</v>
      </c>
      <c r="F6" t="s">
        <v>6</v>
      </c>
      <c r="G6">
        <v>3050</v>
      </c>
      <c r="H6">
        <v>150</v>
      </c>
      <c r="I6">
        <v>1.2</v>
      </c>
      <c r="J6">
        <v>1.95</v>
      </c>
    </row>
    <row r="7" spans="1:10" x14ac:dyDescent="0.3">
      <c r="A7" t="s">
        <v>72</v>
      </c>
      <c r="B7" t="s">
        <v>15</v>
      </c>
      <c r="C7">
        <v>3</v>
      </c>
      <c r="D7">
        <v>1</v>
      </c>
      <c r="E7" t="s">
        <v>44</v>
      </c>
      <c r="F7" t="s">
        <v>10</v>
      </c>
      <c r="G7">
        <v>50</v>
      </c>
      <c r="H7">
        <v>2750</v>
      </c>
      <c r="I7">
        <v>2.9</v>
      </c>
      <c r="J7">
        <v>1.1000000000000001</v>
      </c>
    </row>
    <row r="8" spans="1:10" x14ac:dyDescent="0.3">
      <c r="A8" t="s">
        <v>72</v>
      </c>
      <c r="B8" t="s">
        <v>23</v>
      </c>
      <c r="C8">
        <v>4</v>
      </c>
      <c r="D8">
        <v>1</v>
      </c>
      <c r="E8" t="s">
        <v>9</v>
      </c>
      <c r="F8" t="s">
        <v>18</v>
      </c>
      <c r="G8">
        <v>3399</v>
      </c>
      <c r="H8">
        <v>50</v>
      </c>
      <c r="I8">
        <v>3.75</v>
      </c>
      <c r="J8">
        <v>1.1000000000000001</v>
      </c>
    </row>
    <row r="9" spans="1:10" x14ac:dyDescent="0.3">
      <c r="A9" t="s">
        <v>72</v>
      </c>
      <c r="B9" t="s">
        <v>35</v>
      </c>
      <c r="C9">
        <v>1</v>
      </c>
      <c r="D9">
        <v>0</v>
      </c>
      <c r="E9" t="s">
        <v>39</v>
      </c>
      <c r="F9" t="s">
        <v>36</v>
      </c>
      <c r="G9">
        <v>2920</v>
      </c>
      <c r="H9">
        <v>10</v>
      </c>
      <c r="I9">
        <v>1.2</v>
      </c>
      <c r="J9">
        <v>0.25</v>
      </c>
    </row>
    <row r="10" spans="1:10" x14ac:dyDescent="0.3">
      <c r="A10" t="s">
        <v>72</v>
      </c>
      <c r="B10" t="s">
        <v>12</v>
      </c>
      <c r="C10">
        <v>2</v>
      </c>
      <c r="D10">
        <v>1</v>
      </c>
      <c r="E10" t="s">
        <v>24</v>
      </c>
      <c r="F10" t="s">
        <v>13</v>
      </c>
      <c r="G10">
        <v>150</v>
      </c>
      <c r="H10">
        <v>3259</v>
      </c>
      <c r="I10">
        <v>2.0499999999999998</v>
      </c>
      <c r="J10">
        <v>1.1000000000000001</v>
      </c>
    </row>
    <row r="11" spans="1:10" x14ac:dyDescent="0.3">
      <c r="A11" t="s">
        <v>73</v>
      </c>
      <c r="B11" t="s">
        <v>9</v>
      </c>
      <c r="C11">
        <v>3</v>
      </c>
      <c r="D11">
        <v>1</v>
      </c>
      <c r="E11" t="s">
        <v>35</v>
      </c>
      <c r="F11" t="s">
        <v>10</v>
      </c>
      <c r="G11">
        <v>50</v>
      </c>
      <c r="H11">
        <v>2920</v>
      </c>
      <c r="I11">
        <v>2.9</v>
      </c>
      <c r="J11">
        <v>1.1000000000000001</v>
      </c>
    </row>
    <row r="12" spans="1:10" x14ac:dyDescent="0.3">
      <c r="A12" t="s">
        <v>73</v>
      </c>
      <c r="B12" t="s">
        <v>43</v>
      </c>
      <c r="C12">
        <v>2</v>
      </c>
      <c r="D12">
        <v>1</v>
      </c>
      <c r="E12" t="s">
        <v>23</v>
      </c>
      <c r="F12" t="s">
        <v>13</v>
      </c>
      <c r="G12">
        <v>150</v>
      </c>
      <c r="H12">
        <v>3399</v>
      </c>
      <c r="I12">
        <v>2.0499999999999998</v>
      </c>
      <c r="J12">
        <v>1.1000000000000001</v>
      </c>
    </row>
    <row r="13" spans="1:10" x14ac:dyDescent="0.3">
      <c r="A13" t="s">
        <v>73</v>
      </c>
      <c r="B13" t="s">
        <v>39</v>
      </c>
      <c r="C13">
        <v>2</v>
      </c>
      <c r="D13">
        <v>0</v>
      </c>
      <c r="E13" t="s">
        <v>5</v>
      </c>
      <c r="F13" t="s">
        <v>40</v>
      </c>
      <c r="G13">
        <v>10</v>
      </c>
      <c r="H13">
        <v>3050</v>
      </c>
      <c r="I13">
        <v>2.0499999999999998</v>
      </c>
      <c r="J13">
        <v>0.25</v>
      </c>
    </row>
    <row r="14" spans="1:10" x14ac:dyDescent="0.3">
      <c r="A14" t="s">
        <v>73</v>
      </c>
      <c r="B14" t="s">
        <v>24</v>
      </c>
      <c r="C14">
        <v>2</v>
      </c>
      <c r="D14">
        <v>0</v>
      </c>
      <c r="E14" t="s">
        <v>15</v>
      </c>
      <c r="F14" t="s">
        <v>25</v>
      </c>
      <c r="G14">
        <v>3259</v>
      </c>
      <c r="H14">
        <v>50</v>
      </c>
      <c r="I14">
        <v>2.0499999999999998</v>
      </c>
      <c r="J14">
        <v>0.25</v>
      </c>
    </row>
    <row r="15" spans="1:10" x14ac:dyDescent="0.3">
      <c r="A15" t="s">
        <v>73</v>
      </c>
      <c r="B15" t="s">
        <v>32</v>
      </c>
      <c r="C15">
        <v>2</v>
      </c>
      <c r="D15">
        <v>0</v>
      </c>
      <c r="E15" t="s">
        <v>17</v>
      </c>
      <c r="F15" t="s">
        <v>33</v>
      </c>
      <c r="G15">
        <v>150</v>
      </c>
      <c r="H15">
        <v>3399</v>
      </c>
      <c r="I15">
        <v>2.0499999999999998</v>
      </c>
      <c r="J15">
        <v>0.25</v>
      </c>
    </row>
    <row r="16" spans="1:10" x14ac:dyDescent="0.3">
      <c r="A16" t="s">
        <v>73</v>
      </c>
      <c r="B16" t="s">
        <v>37</v>
      </c>
      <c r="C16">
        <v>2</v>
      </c>
      <c r="D16">
        <v>1</v>
      </c>
      <c r="E16" t="s">
        <v>42</v>
      </c>
      <c r="F16" t="s">
        <v>38</v>
      </c>
      <c r="G16">
        <v>2335</v>
      </c>
      <c r="H16">
        <v>150</v>
      </c>
      <c r="I16">
        <v>2.0499999999999998</v>
      </c>
      <c r="J16">
        <v>1.1000000000000001</v>
      </c>
    </row>
    <row r="17" spans="1:10" x14ac:dyDescent="0.3">
      <c r="A17" t="s">
        <v>73</v>
      </c>
      <c r="B17" t="s">
        <v>44</v>
      </c>
      <c r="C17">
        <v>0</v>
      </c>
      <c r="D17">
        <v>0</v>
      </c>
      <c r="E17" t="s">
        <v>27</v>
      </c>
      <c r="F17" t="s">
        <v>31</v>
      </c>
      <c r="G17">
        <v>2750</v>
      </c>
      <c r="H17">
        <v>1410</v>
      </c>
      <c r="I17">
        <v>0.35</v>
      </c>
      <c r="J17">
        <v>0.25</v>
      </c>
    </row>
    <row r="18" spans="1:10" x14ac:dyDescent="0.3">
      <c r="A18" t="s">
        <v>73</v>
      </c>
      <c r="B18" t="s">
        <v>19</v>
      </c>
      <c r="C18">
        <v>2</v>
      </c>
      <c r="D18">
        <v>2</v>
      </c>
      <c r="E18" t="s">
        <v>12</v>
      </c>
      <c r="F18" t="s">
        <v>20</v>
      </c>
      <c r="G18">
        <v>2620</v>
      </c>
      <c r="H18">
        <v>150</v>
      </c>
      <c r="I18">
        <v>2.0499999999999998</v>
      </c>
      <c r="J18">
        <v>1.95</v>
      </c>
    </row>
    <row r="19" spans="1:10" x14ac:dyDescent="0.3">
      <c r="A19" t="s">
        <v>73</v>
      </c>
      <c r="B19" t="s">
        <v>26</v>
      </c>
      <c r="C19">
        <v>2</v>
      </c>
      <c r="D19">
        <v>1</v>
      </c>
      <c r="E19" t="s">
        <v>30</v>
      </c>
      <c r="F19" t="s">
        <v>18</v>
      </c>
      <c r="G19">
        <v>3399</v>
      </c>
      <c r="H19">
        <v>2750</v>
      </c>
      <c r="I19">
        <v>2.0499999999999998</v>
      </c>
      <c r="J19">
        <v>1.1000000000000001</v>
      </c>
    </row>
    <row r="20" spans="1:10" x14ac:dyDescent="0.3">
      <c r="A20" t="s">
        <v>74</v>
      </c>
      <c r="B20" t="s">
        <v>35</v>
      </c>
      <c r="C20">
        <v>3</v>
      </c>
      <c r="D20">
        <v>2</v>
      </c>
      <c r="E20" t="s">
        <v>19</v>
      </c>
      <c r="F20" t="s">
        <v>36</v>
      </c>
      <c r="G20">
        <v>2920</v>
      </c>
      <c r="H20">
        <v>2620</v>
      </c>
      <c r="I20">
        <v>2.9</v>
      </c>
      <c r="J20">
        <v>1.95</v>
      </c>
    </row>
    <row r="21" spans="1:10" x14ac:dyDescent="0.3">
      <c r="A21" t="s">
        <v>74</v>
      </c>
      <c r="B21" t="s">
        <v>30</v>
      </c>
      <c r="C21">
        <v>0</v>
      </c>
      <c r="D21">
        <v>2</v>
      </c>
      <c r="E21" t="s">
        <v>24</v>
      </c>
      <c r="F21" t="s">
        <v>31</v>
      </c>
      <c r="G21">
        <v>2750</v>
      </c>
      <c r="H21">
        <v>3259</v>
      </c>
      <c r="I21">
        <v>0.35</v>
      </c>
      <c r="J21">
        <v>1.95</v>
      </c>
    </row>
    <row r="22" spans="1:10" x14ac:dyDescent="0.3">
      <c r="A22" t="s">
        <v>74</v>
      </c>
      <c r="B22" t="s">
        <v>15</v>
      </c>
      <c r="C22">
        <v>0</v>
      </c>
      <c r="D22">
        <v>1</v>
      </c>
      <c r="E22" t="s">
        <v>39</v>
      </c>
      <c r="F22" t="s">
        <v>10</v>
      </c>
      <c r="G22">
        <v>50</v>
      </c>
      <c r="H22">
        <v>10</v>
      </c>
      <c r="I22">
        <v>0.35</v>
      </c>
      <c r="J22">
        <v>1.1000000000000001</v>
      </c>
    </row>
    <row r="23" spans="1:10" x14ac:dyDescent="0.3">
      <c r="A23" t="s">
        <v>74</v>
      </c>
      <c r="B23" t="s">
        <v>23</v>
      </c>
      <c r="C23">
        <v>4</v>
      </c>
      <c r="D23">
        <v>1</v>
      </c>
      <c r="E23" t="s">
        <v>44</v>
      </c>
      <c r="F23" t="s">
        <v>18</v>
      </c>
      <c r="G23">
        <v>3399</v>
      </c>
      <c r="H23">
        <v>2750</v>
      </c>
      <c r="I23">
        <v>3.75</v>
      </c>
      <c r="J23">
        <v>1.1000000000000001</v>
      </c>
    </row>
    <row r="24" spans="1:10" x14ac:dyDescent="0.3">
      <c r="A24" t="s">
        <v>74</v>
      </c>
      <c r="B24" t="s">
        <v>12</v>
      </c>
      <c r="C24">
        <v>3</v>
      </c>
      <c r="D24">
        <v>1</v>
      </c>
      <c r="E24" t="s">
        <v>9</v>
      </c>
      <c r="F24" t="s">
        <v>13</v>
      </c>
      <c r="G24">
        <v>150</v>
      </c>
      <c r="H24">
        <v>50</v>
      </c>
      <c r="I24">
        <v>2.9</v>
      </c>
      <c r="J24">
        <v>1.1000000000000001</v>
      </c>
    </row>
    <row r="25" spans="1:10" x14ac:dyDescent="0.3">
      <c r="A25" t="s">
        <v>74</v>
      </c>
      <c r="B25" t="s">
        <v>42</v>
      </c>
      <c r="C25">
        <v>2</v>
      </c>
      <c r="D25">
        <v>0</v>
      </c>
      <c r="E25" t="s">
        <v>32</v>
      </c>
      <c r="F25" t="s">
        <v>13</v>
      </c>
      <c r="G25">
        <v>150</v>
      </c>
      <c r="H25">
        <v>150</v>
      </c>
      <c r="I25">
        <v>2.0499999999999998</v>
      </c>
      <c r="J25">
        <v>0.25</v>
      </c>
    </row>
    <row r="26" spans="1:10" x14ac:dyDescent="0.3">
      <c r="A26" t="s">
        <v>74</v>
      </c>
      <c r="B26" t="s">
        <v>5</v>
      </c>
      <c r="C26">
        <v>0</v>
      </c>
      <c r="D26">
        <v>1</v>
      </c>
      <c r="E26" t="s">
        <v>26</v>
      </c>
      <c r="F26" t="s">
        <v>6</v>
      </c>
      <c r="G26">
        <v>3050</v>
      </c>
      <c r="H26">
        <v>3399</v>
      </c>
      <c r="I26">
        <v>0.35</v>
      </c>
      <c r="J26">
        <v>1.1000000000000001</v>
      </c>
    </row>
    <row r="27" spans="1:10" x14ac:dyDescent="0.3">
      <c r="A27" t="s">
        <v>74</v>
      </c>
      <c r="B27" t="s">
        <v>27</v>
      </c>
      <c r="C27">
        <v>0</v>
      </c>
      <c r="D27">
        <v>0</v>
      </c>
      <c r="E27" t="s">
        <v>37</v>
      </c>
      <c r="F27" t="s">
        <v>28</v>
      </c>
      <c r="G27">
        <v>1410</v>
      </c>
      <c r="H27">
        <v>2335</v>
      </c>
      <c r="I27">
        <v>0.35</v>
      </c>
      <c r="J27">
        <v>0.25</v>
      </c>
    </row>
    <row r="28" spans="1:10" x14ac:dyDescent="0.3">
      <c r="A28" t="s">
        <v>74</v>
      </c>
      <c r="B28" t="s">
        <v>17</v>
      </c>
      <c r="C28">
        <v>2</v>
      </c>
      <c r="D28">
        <v>0</v>
      </c>
      <c r="E28" t="s">
        <v>43</v>
      </c>
      <c r="F28" t="s">
        <v>18</v>
      </c>
      <c r="G28">
        <v>3399</v>
      </c>
      <c r="H28">
        <v>150</v>
      </c>
      <c r="I28">
        <v>2.0499999999999998</v>
      </c>
      <c r="J28">
        <v>0.25</v>
      </c>
    </row>
    <row r="29" spans="1:10" x14ac:dyDescent="0.3">
      <c r="A29" t="s">
        <v>75</v>
      </c>
      <c r="B29" t="s">
        <v>9</v>
      </c>
      <c r="C29">
        <v>1</v>
      </c>
      <c r="D29">
        <v>0</v>
      </c>
      <c r="E29" t="s">
        <v>17</v>
      </c>
      <c r="F29" t="s">
        <v>10</v>
      </c>
      <c r="G29">
        <v>50</v>
      </c>
      <c r="H29">
        <v>3399</v>
      </c>
      <c r="I29">
        <v>1.2</v>
      </c>
      <c r="J29">
        <v>0.25</v>
      </c>
    </row>
    <row r="30" spans="1:10" x14ac:dyDescent="0.3">
      <c r="A30" t="s">
        <v>75</v>
      </c>
      <c r="B30" t="s">
        <v>24</v>
      </c>
      <c r="C30">
        <v>1</v>
      </c>
      <c r="D30">
        <v>1</v>
      </c>
      <c r="E30" t="s">
        <v>35</v>
      </c>
      <c r="F30" t="s">
        <v>25</v>
      </c>
      <c r="G30">
        <v>3259</v>
      </c>
      <c r="H30">
        <v>2920</v>
      </c>
      <c r="I30">
        <v>1.2</v>
      </c>
      <c r="J30">
        <v>1.1000000000000001</v>
      </c>
    </row>
    <row r="31" spans="1:10" x14ac:dyDescent="0.3">
      <c r="A31" t="s">
        <v>75</v>
      </c>
      <c r="B31" t="s">
        <v>19</v>
      </c>
      <c r="C31">
        <v>3</v>
      </c>
      <c r="D31">
        <v>1</v>
      </c>
      <c r="E31" t="s">
        <v>23</v>
      </c>
      <c r="F31" t="s">
        <v>20</v>
      </c>
      <c r="G31">
        <v>2620</v>
      </c>
      <c r="H31">
        <v>3399</v>
      </c>
      <c r="I31">
        <v>2.9</v>
      </c>
      <c r="J31">
        <v>1.1000000000000001</v>
      </c>
    </row>
    <row r="32" spans="1:10" x14ac:dyDescent="0.3">
      <c r="A32" t="s">
        <v>75</v>
      </c>
      <c r="B32" t="s">
        <v>43</v>
      </c>
      <c r="C32">
        <v>1</v>
      </c>
      <c r="D32">
        <v>1</v>
      </c>
      <c r="E32" t="s">
        <v>42</v>
      </c>
      <c r="F32" t="s">
        <v>13</v>
      </c>
      <c r="G32">
        <v>150</v>
      </c>
      <c r="H32">
        <v>150</v>
      </c>
      <c r="I32">
        <v>1.2</v>
      </c>
      <c r="J32">
        <v>1.1000000000000001</v>
      </c>
    </row>
    <row r="33" spans="1:10" x14ac:dyDescent="0.3">
      <c r="A33" t="s">
        <v>75</v>
      </c>
      <c r="B33" t="s">
        <v>44</v>
      </c>
      <c r="C33">
        <v>1</v>
      </c>
      <c r="D33">
        <v>1</v>
      </c>
      <c r="E33" t="s">
        <v>5</v>
      </c>
      <c r="F33" t="s">
        <v>31</v>
      </c>
      <c r="G33">
        <v>2750</v>
      </c>
      <c r="H33">
        <v>3050</v>
      </c>
      <c r="I33">
        <v>1.2</v>
      </c>
      <c r="J33">
        <v>1.1000000000000001</v>
      </c>
    </row>
    <row r="34" spans="1:10" x14ac:dyDescent="0.3">
      <c r="A34" t="s">
        <v>75</v>
      </c>
      <c r="B34" t="s">
        <v>32</v>
      </c>
      <c r="C34">
        <v>0</v>
      </c>
      <c r="D34">
        <v>0</v>
      </c>
      <c r="E34" t="s">
        <v>15</v>
      </c>
      <c r="F34" t="s">
        <v>33</v>
      </c>
      <c r="G34">
        <v>150</v>
      </c>
      <c r="H34">
        <v>50</v>
      </c>
      <c r="I34">
        <v>0.35</v>
      </c>
      <c r="J34">
        <v>0.25</v>
      </c>
    </row>
    <row r="35" spans="1:10" x14ac:dyDescent="0.3">
      <c r="A35" t="s">
        <v>75</v>
      </c>
      <c r="B35" t="s">
        <v>39</v>
      </c>
      <c r="C35">
        <v>1</v>
      </c>
      <c r="D35">
        <v>1</v>
      </c>
      <c r="E35" t="s">
        <v>12</v>
      </c>
      <c r="F35" t="s">
        <v>40</v>
      </c>
      <c r="G35">
        <v>10</v>
      </c>
      <c r="H35">
        <v>150</v>
      </c>
      <c r="I35">
        <v>1.2</v>
      </c>
      <c r="J35">
        <v>1.1000000000000001</v>
      </c>
    </row>
    <row r="36" spans="1:10" x14ac:dyDescent="0.3">
      <c r="A36" t="s">
        <v>75</v>
      </c>
      <c r="B36" t="s">
        <v>26</v>
      </c>
      <c r="C36">
        <v>2</v>
      </c>
      <c r="D36">
        <v>0</v>
      </c>
      <c r="E36" t="s">
        <v>27</v>
      </c>
      <c r="F36" t="s">
        <v>18</v>
      </c>
      <c r="G36">
        <v>3399</v>
      </c>
      <c r="H36">
        <v>1410</v>
      </c>
      <c r="I36">
        <v>2.0499999999999998</v>
      </c>
      <c r="J36">
        <v>0.25</v>
      </c>
    </row>
    <row r="37" spans="1:10" x14ac:dyDescent="0.3">
      <c r="A37" t="s">
        <v>75</v>
      </c>
      <c r="B37" t="s">
        <v>37</v>
      </c>
      <c r="C37">
        <v>2</v>
      </c>
      <c r="D37">
        <v>4</v>
      </c>
      <c r="E37" t="s">
        <v>30</v>
      </c>
      <c r="F37" t="s">
        <v>38</v>
      </c>
      <c r="G37">
        <v>2335</v>
      </c>
      <c r="H37">
        <v>2750</v>
      </c>
      <c r="I37">
        <v>2.0499999999999998</v>
      </c>
      <c r="J37">
        <v>3.65</v>
      </c>
    </row>
    <row r="38" spans="1:10" x14ac:dyDescent="0.3">
      <c r="A38" t="s">
        <v>76</v>
      </c>
      <c r="B38" t="s">
        <v>15</v>
      </c>
      <c r="C38">
        <v>1</v>
      </c>
      <c r="D38">
        <v>0</v>
      </c>
      <c r="E38" t="s">
        <v>19</v>
      </c>
      <c r="F38" t="s">
        <v>10</v>
      </c>
      <c r="G38">
        <v>50</v>
      </c>
      <c r="H38">
        <v>2620</v>
      </c>
      <c r="I38">
        <v>1.2</v>
      </c>
      <c r="J38">
        <v>0.25</v>
      </c>
    </row>
    <row r="39" spans="1:10" x14ac:dyDescent="0.3">
      <c r="A39" t="s">
        <v>76</v>
      </c>
      <c r="B39" t="s">
        <v>23</v>
      </c>
      <c r="C39">
        <v>2</v>
      </c>
      <c r="D39">
        <v>0</v>
      </c>
      <c r="E39" t="s">
        <v>32</v>
      </c>
      <c r="F39" t="s">
        <v>18</v>
      </c>
      <c r="G39">
        <v>3399</v>
      </c>
      <c r="H39">
        <v>150</v>
      </c>
      <c r="I39">
        <v>2.0499999999999998</v>
      </c>
      <c r="J39">
        <v>0.25</v>
      </c>
    </row>
    <row r="40" spans="1:10" x14ac:dyDescent="0.3">
      <c r="A40" t="s">
        <v>76</v>
      </c>
      <c r="B40" t="s">
        <v>5</v>
      </c>
      <c r="C40">
        <v>1</v>
      </c>
      <c r="D40">
        <v>1</v>
      </c>
      <c r="E40" t="s">
        <v>9</v>
      </c>
      <c r="F40" t="s">
        <v>6</v>
      </c>
      <c r="G40">
        <v>3050</v>
      </c>
      <c r="H40">
        <v>50</v>
      </c>
      <c r="I40">
        <v>1.2</v>
      </c>
      <c r="J40">
        <v>1.1000000000000001</v>
      </c>
    </row>
    <row r="41" spans="1:10" x14ac:dyDescent="0.3">
      <c r="A41" t="s">
        <v>76</v>
      </c>
      <c r="B41" t="s">
        <v>35</v>
      </c>
      <c r="C41">
        <v>0</v>
      </c>
      <c r="D41">
        <v>3</v>
      </c>
      <c r="E41" t="s">
        <v>37</v>
      </c>
      <c r="F41" t="s">
        <v>36</v>
      </c>
      <c r="G41">
        <v>2920</v>
      </c>
      <c r="H41">
        <v>2335</v>
      </c>
      <c r="I41">
        <v>0.35</v>
      </c>
      <c r="J41">
        <v>2.8</v>
      </c>
    </row>
    <row r="42" spans="1:10" x14ac:dyDescent="0.3">
      <c r="A42" t="s">
        <v>76</v>
      </c>
      <c r="B42" t="s">
        <v>12</v>
      </c>
      <c r="C42">
        <v>1</v>
      </c>
      <c r="D42">
        <v>0</v>
      </c>
      <c r="E42" t="s">
        <v>44</v>
      </c>
      <c r="F42" t="s">
        <v>13</v>
      </c>
      <c r="G42">
        <v>150</v>
      </c>
      <c r="H42">
        <v>2750</v>
      </c>
      <c r="I42">
        <v>1.2</v>
      </c>
      <c r="J42">
        <v>0.25</v>
      </c>
    </row>
    <row r="43" spans="1:10" x14ac:dyDescent="0.3">
      <c r="A43" t="s">
        <v>76</v>
      </c>
      <c r="B43" t="s">
        <v>42</v>
      </c>
      <c r="C43">
        <v>4</v>
      </c>
      <c r="D43">
        <v>1</v>
      </c>
      <c r="E43" t="s">
        <v>24</v>
      </c>
      <c r="F43" t="s">
        <v>13</v>
      </c>
      <c r="G43">
        <v>150</v>
      </c>
      <c r="H43">
        <v>3259</v>
      </c>
      <c r="I43">
        <v>3.75</v>
      </c>
      <c r="J43">
        <v>1.1000000000000001</v>
      </c>
    </row>
    <row r="44" spans="1:10" x14ac:dyDescent="0.3">
      <c r="A44" t="s">
        <v>76</v>
      </c>
      <c r="B44" t="s">
        <v>27</v>
      </c>
      <c r="C44">
        <v>1</v>
      </c>
      <c r="D44">
        <v>1</v>
      </c>
      <c r="E44" t="s">
        <v>39</v>
      </c>
      <c r="F44" t="s">
        <v>28</v>
      </c>
      <c r="G44">
        <v>1410</v>
      </c>
      <c r="H44">
        <v>10</v>
      </c>
      <c r="I44">
        <v>1.2</v>
      </c>
      <c r="J44">
        <v>1.1000000000000001</v>
      </c>
    </row>
    <row r="45" spans="1:10" x14ac:dyDescent="0.3">
      <c r="A45" t="s">
        <v>76</v>
      </c>
      <c r="B45" t="s">
        <v>30</v>
      </c>
      <c r="C45">
        <v>2</v>
      </c>
      <c r="D45">
        <v>3</v>
      </c>
      <c r="E45" t="s">
        <v>43</v>
      </c>
      <c r="F45" t="s">
        <v>31</v>
      </c>
      <c r="G45">
        <v>2750</v>
      </c>
      <c r="H45">
        <v>150</v>
      </c>
      <c r="I45">
        <v>2.0499999999999998</v>
      </c>
      <c r="J45">
        <v>2.8</v>
      </c>
    </row>
    <row r="46" spans="1:10" x14ac:dyDescent="0.3">
      <c r="A46" t="s">
        <v>76</v>
      </c>
      <c r="B46" t="s">
        <v>17</v>
      </c>
      <c r="C46">
        <v>0</v>
      </c>
      <c r="D46">
        <v>0</v>
      </c>
      <c r="E46" t="s">
        <v>26</v>
      </c>
      <c r="F46" t="s">
        <v>18</v>
      </c>
      <c r="G46">
        <v>3399</v>
      </c>
      <c r="H46">
        <v>3399</v>
      </c>
      <c r="I46">
        <v>0.35</v>
      </c>
      <c r="J46">
        <v>0.25</v>
      </c>
    </row>
    <row r="47" spans="1:10" x14ac:dyDescent="0.3">
      <c r="A47" t="s">
        <v>77</v>
      </c>
      <c r="B47" t="s">
        <v>30</v>
      </c>
      <c r="C47">
        <v>1</v>
      </c>
      <c r="D47">
        <v>3</v>
      </c>
      <c r="E47" t="s">
        <v>15</v>
      </c>
      <c r="F47" t="s">
        <v>31</v>
      </c>
      <c r="G47">
        <v>2750</v>
      </c>
      <c r="H47">
        <v>50</v>
      </c>
      <c r="I47">
        <v>1.2</v>
      </c>
      <c r="J47">
        <v>2.8</v>
      </c>
    </row>
    <row r="48" spans="1:10" x14ac:dyDescent="0.3">
      <c r="A48" t="s">
        <v>77</v>
      </c>
      <c r="B48" t="s">
        <v>9</v>
      </c>
      <c r="C48">
        <v>3</v>
      </c>
      <c r="D48">
        <v>1</v>
      </c>
      <c r="E48" t="s">
        <v>42</v>
      </c>
      <c r="F48" t="s">
        <v>10</v>
      </c>
      <c r="G48">
        <v>50</v>
      </c>
      <c r="H48">
        <v>150</v>
      </c>
      <c r="I48">
        <v>2.9</v>
      </c>
      <c r="J48">
        <v>1.1000000000000001</v>
      </c>
    </row>
    <row r="49" spans="1:10" x14ac:dyDescent="0.3">
      <c r="A49" t="s">
        <v>77</v>
      </c>
      <c r="B49" t="s">
        <v>24</v>
      </c>
      <c r="C49">
        <v>0</v>
      </c>
      <c r="D49">
        <v>2</v>
      </c>
      <c r="E49" t="s">
        <v>27</v>
      </c>
      <c r="F49" t="s">
        <v>25</v>
      </c>
      <c r="G49">
        <v>3259</v>
      </c>
      <c r="H49">
        <v>1410</v>
      </c>
      <c r="I49">
        <v>0.35</v>
      </c>
      <c r="J49">
        <v>1.95</v>
      </c>
    </row>
    <row r="50" spans="1:10" x14ac:dyDescent="0.3">
      <c r="A50" t="s">
        <v>77</v>
      </c>
      <c r="B50" t="s">
        <v>44</v>
      </c>
      <c r="C50">
        <v>1</v>
      </c>
      <c r="D50">
        <v>3</v>
      </c>
      <c r="E50" t="s">
        <v>19</v>
      </c>
      <c r="F50" t="s">
        <v>31</v>
      </c>
      <c r="G50">
        <v>2750</v>
      </c>
      <c r="H50">
        <v>2620</v>
      </c>
      <c r="I50">
        <v>1.2</v>
      </c>
      <c r="J50">
        <v>2.8</v>
      </c>
    </row>
    <row r="51" spans="1:10" x14ac:dyDescent="0.3">
      <c r="A51" t="s">
        <v>77</v>
      </c>
      <c r="B51" t="s">
        <v>32</v>
      </c>
      <c r="C51">
        <v>5</v>
      </c>
      <c r="D51">
        <v>1</v>
      </c>
      <c r="E51" t="s">
        <v>5</v>
      </c>
      <c r="F51" t="s">
        <v>33</v>
      </c>
      <c r="G51">
        <v>150</v>
      </c>
      <c r="H51">
        <v>3050</v>
      </c>
      <c r="I51">
        <v>4.5999999999999996</v>
      </c>
      <c r="J51">
        <v>1.1000000000000001</v>
      </c>
    </row>
    <row r="52" spans="1:10" x14ac:dyDescent="0.3">
      <c r="A52" t="s">
        <v>77</v>
      </c>
      <c r="B52" t="s">
        <v>26</v>
      </c>
      <c r="C52">
        <v>4</v>
      </c>
      <c r="D52">
        <v>1</v>
      </c>
      <c r="E52" t="s">
        <v>23</v>
      </c>
      <c r="F52" t="s">
        <v>18</v>
      </c>
      <c r="G52">
        <v>3399</v>
      </c>
      <c r="H52">
        <v>3399</v>
      </c>
      <c r="I52">
        <v>3.75</v>
      </c>
      <c r="J52">
        <v>1.1000000000000001</v>
      </c>
    </row>
    <row r="53" spans="1:10" x14ac:dyDescent="0.3">
      <c r="A53" t="s">
        <v>77</v>
      </c>
      <c r="B53" t="s">
        <v>39</v>
      </c>
      <c r="C53">
        <v>5</v>
      </c>
      <c r="D53">
        <v>1</v>
      </c>
      <c r="E53" t="s">
        <v>17</v>
      </c>
      <c r="F53" t="s">
        <v>40</v>
      </c>
      <c r="G53">
        <v>10</v>
      </c>
      <c r="H53">
        <v>3399</v>
      </c>
      <c r="I53">
        <v>4.5999999999999996</v>
      </c>
      <c r="J53">
        <v>1.1000000000000001</v>
      </c>
    </row>
    <row r="54" spans="1:10" x14ac:dyDescent="0.3">
      <c r="A54" t="s">
        <v>77</v>
      </c>
      <c r="B54" t="s">
        <v>37</v>
      </c>
      <c r="C54">
        <v>1</v>
      </c>
      <c r="D54">
        <v>1</v>
      </c>
      <c r="E54" t="s">
        <v>12</v>
      </c>
      <c r="F54" t="s">
        <v>38</v>
      </c>
      <c r="G54">
        <v>2335</v>
      </c>
      <c r="H54">
        <v>150</v>
      </c>
      <c r="I54">
        <v>1.2</v>
      </c>
      <c r="J54">
        <v>1.1000000000000001</v>
      </c>
    </row>
    <row r="55" spans="1:10" x14ac:dyDescent="0.3">
      <c r="A55" t="s">
        <v>77</v>
      </c>
      <c r="B55" t="s">
        <v>43</v>
      </c>
      <c r="C55">
        <v>3</v>
      </c>
      <c r="D55">
        <v>0</v>
      </c>
      <c r="E55" t="s">
        <v>35</v>
      </c>
      <c r="F55" t="s">
        <v>13</v>
      </c>
      <c r="G55">
        <v>150</v>
      </c>
      <c r="H55">
        <v>2920</v>
      </c>
      <c r="I55">
        <v>2.9</v>
      </c>
      <c r="J55">
        <v>0.25</v>
      </c>
    </row>
    <row r="56" spans="1:10" x14ac:dyDescent="0.3">
      <c r="A56" t="s">
        <v>78</v>
      </c>
      <c r="B56" t="s">
        <v>19</v>
      </c>
      <c r="C56">
        <v>2</v>
      </c>
      <c r="D56">
        <v>3</v>
      </c>
      <c r="E56" t="s">
        <v>30</v>
      </c>
      <c r="F56" t="s">
        <v>20</v>
      </c>
      <c r="G56">
        <v>2620</v>
      </c>
      <c r="H56">
        <v>2750</v>
      </c>
      <c r="I56">
        <v>2.0499999999999998</v>
      </c>
      <c r="J56">
        <v>2.8</v>
      </c>
    </row>
    <row r="57" spans="1:10" x14ac:dyDescent="0.3">
      <c r="A57" t="s">
        <v>78</v>
      </c>
      <c r="B57" t="s">
        <v>35</v>
      </c>
      <c r="C57">
        <v>3</v>
      </c>
      <c r="D57">
        <v>4</v>
      </c>
      <c r="E57" t="s">
        <v>32</v>
      </c>
      <c r="F57" t="s">
        <v>36</v>
      </c>
      <c r="G57">
        <v>2920</v>
      </c>
      <c r="H57">
        <v>150</v>
      </c>
      <c r="I57">
        <v>2.9</v>
      </c>
      <c r="J57">
        <v>3.65</v>
      </c>
    </row>
    <row r="58" spans="1:10" x14ac:dyDescent="0.3">
      <c r="A58" t="s">
        <v>78</v>
      </c>
      <c r="B58" t="s">
        <v>44</v>
      </c>
      <c r="C58">
        <v>2</v>
      </c>
      <c r="D58">
        <v>4</v>
      </c>
      <c r="E58" t="s">
        <v>43</v>
      </c>
      <c r="F58" t="s">
        <v>31</v>
      </c>
      <c r="G58">
        <v>2750</v>
      </c>
      <c r="H58">
        <v>150</v>
      </c>
      <c r="I58">
        <v>2.0499999999999998</v>
      </c>
      <c r="J58">
        <v>3.65</v>
      </c>
    </row>
    <row r="59" spans="1:10" x14ac:dyDescent="0.3">
      <c r="A59" t="s">
        <v>78</v>
      </c>
      <c r="B59" t="s">
        <v>12</v>
      </c>
      <c r="C59">
        <v>0</v>
      </c>
      <c r="D59">
        <v>1</v>
      </c>
      <c r="E59" t="s">
        <v>26</v>
      </c>
      <c r="F59" t="s">
        <v>13</v>
      </c>
      <c r="G59">
        <v>150</v>
      </c>
      <c r="H59">
        <v>3399</v>
      </c>
      <c r="I59">
        <v>0.35</v>
      </c>
      <c r="J59">
        <v>1.1000000000000001</v>
      </c>
    </row>
    <row r="60" spans="1:10" x14ac:dyDescent="0.3">
      <c r="A60" t="s">
        <v>78</v>
      </c>
      <c r="B60" t="s">
        <v>27</v>
      </c>
      <c r="C60">
        <v>1</v>
      </c>
      <c r="D60">
        <v>4</v>
      </c>
      <c r="E60" t="s">
        <v>9</v>
      </c>
      <c r="F60" t="s">
        <v>28</v>
      </c>
      <c r="G60">
        <v>1410</v>
      </c>
      <c r="H60">
        <v>50</v>
      </c>
      <c r="I60">
        <v>1.2</v>
      </c>
      <c r="J60">
        <v>3.65</v>
      </c>
    </row>
    <row r="61" spans="1:10" x14ac:dyDescent="0.3">
      <c r="A61" t="s">
        <v>78</v>
      </c>
      <c r="B61" t="s">
        <v>5</v>
      </c>
      <c r="C61">
        <v>1</v>
      </c>
      <c r="D61">
        <v>3</v>
      </c>
      <c r="E61" t="s">
        <v>24</v>
      </c>
      <c r="F61" t="s">
        <v>6</v>
      </c>
      <c r="G61">
        <v>3050</v>
      </c>
      <c r="H61">
        <v>3259</v>
      </c>
      <c r="I61">
        <v>1.2</v>
      </c>
      <c r="J61">
        <v>2.8</v>
      </c>
    </row>
    <row r="62" spans="1:10" x14ac:dyDescent="0.3">
      <c r="A62" t="s">
        <v>78</v>
      </c>
      <c r="B62" t="s">
        <v>39</v>
      </c>
      <c r="C62">
        <v>1</v>
      </c>
      <c r="D62">
        <v>0</v>
      </c>
      <c r="E62" t="s">
        <v>42</v>
      </c>
      <c r="F62" t="s">
        <v>40</v>
      </c>
      <c r="G62">
        <v>10</v>
      </c>
      <c r="H62">
        <v>150</v>
      </c>
      <c r="I62">
        <v>1.2</v>
      </c>
      <c r="J62">
        <v>0.25</v>
      </c>
    </row>
    <row r="63" spans="1:10" x14ac:dyDescent="0.3">
      <c r="A63" t="s">
        <v>78</v>
      </c>
      <c r="B63" t="s">
        <v>17</v>
      </c>
      <c r="C63">
        <v>1</v>
      </c>
      <c r="D63">
        <v>2</v>
      </c>
      <c r="E63" t="s">
        <v>23</v>
      </c>
      <c r="F63" t="s">
        <v>18</v>
      </c>
      <c r="G63">
        <v>3399</v>
      </c>
      <c r="H63">
        <v>3399</v>
      </c>
      <c r="I63">
        <v>1.2</v>
      </c>
      <c r="J63">
        <v>1.95</v>
      </c>
    </row>
    <row r="64" spans="1:10" x14ac:dyDescent="0.3">
      <c r="A64" t="s">
        <v>78</v>
      </c>
      <c r="B64" t="s">
        <v>15</v>
      </c>
      <c r="C64">
        <v>1</v>
      </c>
      <c r="D64">
        <v>0</v>
      </c>
      <c r="E64" t="s">
        <v>37</v>
      </c>
      <c r="F64" t="s">
        <v>10</v>
      </c>
      <c r="G64">
        <v>50</v>
      </c>
      <c r="H64">
        <v>2335</v>
      </c>
      <c r="I64">
        <v>1.2</v>
      </c>
      <c r="J64">
        <v>0.25</v>
      </c>
    </row>
    <row r="65" spans="1:10" x14ac:dyDescent="0.3">
      <c r="A65" t="s">
        <v>55</v>
      </c>
      <c r="B65" t="s">
        <v>30</v>
      </c>
      <c r="C65">
        <v>2</v>
      </c>
      <c r="D65">
        <v>5</v>
      </c>
      <c r="E65" t="s">
        <v>17</v>
      </c>
      <c r="F65" t="s">
        <v>31</v>
      </c>
      <c r="G65">
        <v>2750</v>
      </c>
      <c r="H65">
        <v>3399</v>
      </c>
      <c r="I65">
        <v>2.85</v>
      </c>
      <c r="J65">
        <v>1.75</v>
      </c>
    </row>
    <row r="66" spans="1:10" x14ac:dyDescent="0.3">
      <c r="A66" t="s">
        <v>55</v>
      </c>
      <c r="B66" t="s">
        <v>9</v>
      </c>
      <c r="C66">
        <v>3</v>
      </c>
      <c r="D66">
        <v>2</v>
      </c>
      <c r="E66" t="s">
        <v>44</v>
      </c>
      <c r="F66" t="s">
        <v>10</v>
      </c>
      <c r="G66">
        <v>50</v>
      </c>
      <c r="H66">
        <v>2750</v>
      </c>
      <c r="I66">
        <v>2.85</v>
      </c>
      <c r="J66">
        <v>1.75</v>
      </c>
    </row>
    <row r="67" spans="1:10" x14ac:dyDescent="0.3">
      <c r="A67" t="s">
        <v>55</v>
      </c>
      <c r="B67" t="s">
        <v>24</v>
      </c>
      <c r="C67">
        <v>2</v>
      </c>
      <c r="D67">
        <v>1</v>
      </c>
      <c r="E67" t="s">
        <v>39</v>
      </c>
      <c r="F67" t="s">
        <v>25</v>
      </c>
      <c r="G67">
        <v>3259</v>
      </c>
      <c r="H67">
        <v>10</v>
      </c>
      <c r="I67">
        <v>2.15</v>
      </c>
      <c r="J67">
        <v>0.95</v>
      </c>
    </row>
    <row r="68" spans="1:10" x14ac:dyDescent="0.3">
      <c r="A68" t="s">
        <v>55</v>
      </c>
      <c r="B68" t="s">
        <v>23</v>
      </c>
      <c r="C68">
        <v>2</v>
      </c>
      <c r="D68">
        <v>0</v>
      </c>
      <c r="E68" t="s">
        <v>27</v>
      </c>
      <c r="F68" t="s">
        <v>18</v>
      </c>
      <c r="G68">
        <v>3399</v>
      </c>
      <c r="H68">
        <v>1410</v>
      </c>
      <c r="I68">
        <v>2.2999999999999998</v>
      </c>
      <c r="J68">
        <v>0.45</v>
      </c>
    </row>
    <row r="69" spans="1:10" x14ac:dyDescent="0.3">
      <c r="A69" t="s">
        <v>55</v>
      </c>
      <c r="B69" t="s">
        <v>43</v>
      </c>
      <c r="C69">
        <v>2</v>
      </c>
      <c r="D69">
        <v>2</v>
      </c>
      <c r="E69" t="s">
        <v>19</v>
      </c>
      <c r="F69" t="s">
        <v>13</v>
      </c>
      <c r="G69">
        <v>150</v>
      </c>
      <c r="H69">
        <v>2620</v>
      </c>
      <c r="I69">
        <v>2.4</v>
      </c>
      <c r="J69">
        <v>1.65</v>
      </c>
    </row>
    <row r="70" spans="1:10" x14ac:dyDescent="0.3">
      <c r="A70" t="s">
        <v>55</v>
      </c>
      <c r="B70" t="s">
        <v>42</v>
      </c>
      <c r="C70">
        <v>5</v>
      </c>
      <c r="D70">
        <v>0</v>
      </c>
      <c r="E70" t="s">
        <v>35</v>
      </c>
      <c r="F70" t="s">
        <v>13</v>
      </c>
      <c r="G70">
        <v>150</v>
      </c>
      <c r="H70">
        <v>2920</v>
      </c>
      <c r="I70">
        <v>4.2</v>
      </c>
      <c r="J70">
        <v>0.35</v>
      </c>
    </row>
    <row r="71" spans="1:10" x14ac:dyDescent="0.3">
      <c r="A71" t="s">
        <v>55</v>
      </c>
      <c r="B71" t="s">
        <v>26</v>
      </c>
      <c r="C71">
        <v>4</v>
      </c>
      <c r="D71">
        <v>2</v>
      </c>
      <c r="E71" t="s">
        <v>15</v>
      </c>
      <c r="F71" t="s">
        <v>18</v>
      </c>
      <c r="G71">
        <v>3399</v>
      </c>
      <c r="H71">
        <v>50</v>
      </c>
      <c r="I71">
        <v>3.45</v>
      </c>
      <c r="J71">
        <v>1.5</v>
      </c>
    </row>
    <row r="72" spans="1:10" x14ac:dyDescent="0.3">
      <c r="A72" t="s">
        <v>55</v>
      </c>
      <c r="B72" t="s">
        <v>32</v>
      </c>
      <c r="C72">
        <v>1</v>
      </c>
      <c r="D72">
        <v>1</v>
      </c>
      <c r="E72" t="s">
        <v>12</v>
      </c>
      <c r="F72" t="s">
        <v>33</v>
      </c>
      <c r="G72">
        <v>150</v>
      </c>
      <c r="H72">
        <v>150</v>
      </c>
      <c r="I72">
        <v>0.95</v>
      </c>
      <c r="J72">
        <v>1.6</v>
      </c>
    </row>
    <row r="73" spans="1:10" x14ac:dyDescent="0.3">
      <c r="A73" t="s">
        <v>55</v>
      </c>
      <c r="B73" t="s">
        <v>37</v>
      </c>
      <c r="C73">
        <v>3</v>
      </c>
      <c r="D73">
        <v>0</v>
      </c>
      <c r="E73" t="s">
        <v>5</v>
      </c>
      <c r="F73" t="s">
        <v>38</v>
      </c>
      <c r="G73">
        <v>2335</v>
      </c>
      <c r="H73">
        <v>3050</v>
      </c>
      <c r="I73">
        <v>2.95</v>
      </c>
      <c r="J73">
        <v>0.4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31F9D3-22DF-46CE-99BF-100B11587352}">
  <dimension ref="A1:J19"/>
  <sheetViews>
    <sheetView workbookViewId="0">
      <selection activeCell="M29" sqref="M29"/>
    </sheetView>
  </sheetViews>
  <sheetFormatPr baseColWidth="10" defaultRowHeight="14.4" x14ac:dyDescent="0.3"/>
  <cols>
    <col min="1" max="1" width="4.109375" bestFit="1" customWidth="1"/>
    <col min="2" max="2" width="19.88671875" bestFit="1" customWidth="1"/>
    <col min="3" max="10" width="5.44140625" customWidth="1"/>
  </cols>
  <sheetData>
    <row r="1" spans="1:10" s="1" customFormat="1" x14ac:dyDescent="0.3">
      <c r="A1" s="1" t="s">
        <v>79</v>
      </c>
      <c r="B1" s="1" t="s">
        <v>0</v>
      </c>
      <c r="C1" s="1" t="s">
        <v>80</v>
      </c>
      <c r="D1" s="1" t="s">
        <v>81</v>
      </c>
      <c r="E1" s="1" t="s">
        <v>82</v>
      </c>
      <c r="F1" s="1" t="s">
        <v>83</v>
      </c>
      <c r="G1" s="1" t="s">
        <v>84</v>
      </c>
      <c r="H1" s="1" t="s">
        <v>85</v>
      </c>
      <c r="I1" s="1" t="s">
        <v>86</v>
      </c>
      <c r="J1" s="1" t="s">
        <v>87</v>
      </c>
    </row>
    <row r="2" spans="1:10" x14ac:dyDescent="0.3">
      <c r="A2">
        <v>1</v>
      </c>
      <c r="B2" t="s">
        <v>26</v>
      </c>
      <c r="C2">
        <v>8</v>
      </c>
      <c r="D2">
        <v>6</v>
      </c>
      <c r="E2">
        <v>1</v>
      </c>
      <c r="F2">
        <v>1</v>
      </c>
      <c r="G2">
        <v>14</v>
      </c>
      <c r="H2">
        <v>5</v>
      </c>
      <c r="I2">
        <f>G2-H2</f>
        <v>9</v>
      </c>
      <c r="J2">
        <v>19</v>
      </c>
    </row>
    <row r="3" spans="1:10" x14ac:dyDescent="0.3">
      <c r="A3">
        <v>2</v>
      </c>
      <c r="B3" t="s">
        <v>43</v>
      </c>
      <c r="C3">
        <v>8</v>
      </c>
      <c r="D3">
        <v>5</v>
      </c>
      <c r="E3">
        <v>2</v>
      </c>
      <c r="F3">
        <v>1</v>
      </c>
      <c r="G3">
        <v>17</v>
      </c>
      <c r="H3">
        <v>11</v>
      </c>
      <c r="I3">
        <f t="shared" ref="I3:I19" si="0">G3-H3</f>
        <v>6</v>
      </c>
      <c r="J3">
        <v>17</v>
      </c>
    </row>
    <row r="4" spans="1:10" x14ac:dyDescent="0.3">
      <c r="A4">
        <v>3</v>
      </c>
      <c r="B4" t="s">
        <v>9</v>
      </c>
      <c r="C4">
        <v>8</v>
      </c>
      <c r="D4">
        <v>5</v>
      </c>
      <c r="E4">
        <v>1</v>
      </c>
      <c r="F4">
        <v>2</v>
      </c>
      <c r="G4">
        <v>17</v>
      </c>
      <c r="H4">
        <v>13</v>
      </c>
      <c r="I4">
        <f t="shared" si="0"/>
        <v>4</v>
      </c>
      <c r="J4">
        <v>16</v>
      </c>
    </row>
    <row r="5" spans="1:10" x14ac:dyDescent="0.3">
      <c r="A5">
        <v>4</v>
      </c>
      <c r="B5" t="s">
        <v>23</v>
      </c>
      <c r="C5">
        <v>8</v>
      </c>
      <c r="D5">
        <v>5</v>
      </c>
      <c r="E5">
        <v>0</v>
      </c>
      <c r="F5">
        <v>3</v>
      </c>
      <c r="G5">
        <v>17</v>
      </c>
      <c r="H5">
        <v>12</v>
      </c>
      <c r="I5">
        <f t="shared" si="0"/>
        <v>5</v>
      </c>
      <c r="J5">
        <v>15</v>
      </c>
    </row>
    <row r="6" spans="1:10" x14ac:dyDescent="0.3">
      <c r="A6">
        <v>5</v>
      </c>
      <c r="B6" t="s">
        <v>37</v>
      </c>
      <c r="C6">
        <v>8</v>
      </c>
      <c r="D6">
        <v>4</v>
      </c>
      <c r="E6">
        <v>2</v>
      </c>
      <c r="F6">
        <v>2</v>
      </c>
      <c r="G6">
        <v>14</v>
      </c>
      <c r="H6">
        <v>8</v>
      </c>
      <c r="I6">
        <f t="shared" si="0"/>
        <v>6</v>
      </c>
      <c r="J6">
        <v>14</v>
      </c>
    </row>
    <row r="7" spans="1:10" x14ac:dyDescent="0.3">
      <c r="A7">
        <v>6</v>
      </c>
      <c r="B7" t="s">
        <v>39</v>
      </c>
      <c r="C7">
        <v>8</v>
      </c>
      <c r="D7">
        <v>4</v>
      </c>
      <c r="E7">
        <v>2</v>
      </c>
      <c r="F7">
        <v>2</v>
      </c>
      <c r="G7">
        <v>12</v>
      </c>
      <c r="H7">
        <v>6</v>
      </c>
      <c r="I7">
        <f t="shared" si="0"/>
        <v>6</v>
      </c>
      <c r="J7">
        <v>14</v>
      </c>
    </row>
    <row r="8" spans="1:10" x14ac:dyDescent="0.3">
      <c r="A8">
        <v>7</v>
      </c>
      <c r="B8" t="s">
        <v>42</v>
      </c>
      <c r="C8">
        <v>8</v>
      </c>
      <c r="D8">
        <v>4</v>
      </c>
      <c r="E8">
        <v>1</v>
      </c>
      <c r="F8">
        <v>3</v>
      </c>
      <c r="G8">
        <v>15</v>
      </c>
      <c r="H8">
        <v>8</v>
      </c>
      <c r="I8">
        <f t="shared" si="0"/>
        <v>7</v>
      </c>
      <c r="J8">
        <v>13</v>
      </c>
    </row>
    <row r="9" spans="1:10" x14ac:dyDescent="0.3">
      <c r="A9">
        <v>8</v>
      </c>
      <c r="B9" t="s">
        <v>12</v>
      </c>
      <c r="C9">
        <v>8</v>
      </c>
      <c r="D9">
        <v>3</v>
      </c>
      <c r="E9">
        <v>4</v>
      </c>
      <c r="F9">
        <v>1</v>
      </c>
      <c r="G9">
        <v>11</v>
      </c>
      <c r="H9">
        <v>8</v>
      </c>
      <c r="I9">
        <f t="shared" si="0"/>
        <v>3</v>
      </c>
      <c r="J9">
        <v>13</v>
      </c>
    </row>
    <row r="10" spans="1:10" x14ac:dyDescent="0.3">
      <c r="A10">
        <v>9</v>
      </c>
      <c r="B10" t="s">
        <v>24</v>
      </c>
      <c r="C10">
        <v>8</v>
      </c>
      <c r="D10">
        <v>4</v>
      </c>
      <c r="E10">
        <v>1</v>
      </c>
      <c r="F10">
        <v>3</v>
      </c>
      <c r="G10">
        <v>12</v>
      </c>
      <c r="H10">
        <v>11</v>
      </c>
      <c r="I10">
        <f t="shared" si="0"/>
        <v>1</v>
      </c>
      <c r="J10">
        <v>13</v>
      </c>
    </row>
    <row r="11" spans="1:10" x14ac:dyDescent="0.3">
      <c r="A11">
        <v>10</v>
      </c>
      <c r="B11" t="s">
        <v>15</v>
      </c>
      <c r="C11">
        <v>8</v>
      </c>
      <c r="D11">
        <v>4</v>
      </c>
      <c r="E11">
        <v>1</v>
      </c>
      <c r="F11">
        <v>3</v>
      </c>
      <c r="G11">
        <v>10</v>
      </c>
      <c r="H11">
        <v>9</v>
      </c>
      <c r="I11">
        <f t="shared" si="0"/>
        <v>1</v>
      </c>
      <c r="J11">
        <v>13</v>
      </c>
    </row>
    <row r="12" spans="1:10" x14ac:dyDescent="0.3">
      <c r="A12">
        <v>11</v>
      </c>
      <c r="B12" t="s">
        <v>32</v>
      </c>
      <c r="C12">
        <v>8</v>
      </c>
      <c r="D12">
        <v>3</v>
      </c>
      <c r="E12">
        <v>3</v>
      </c>
      <c r="F12">
        <v>2</v>
      </c>
      <c r="G12">
        <v>14</v>
      </c>
      <c r="H12">
        <v>11</v>
      </c>
      <c r="I12">
        <f t="shared" si="0"/>
        <v>3</v>
      </c>
      <c r="J12">
        <v>12</v>
      </c>
    </row>
    <row r="13" spans="1:10" x14ac:dyDescent="0.3">
      <c r="A13">
        <v>12</v>
      </c>
      <c r="B13" t="s">
        <v>19</v>
      </c>
      <c r="C13">
        <v>8</v>
      </c>
      <c r="D13">
        <v>2</v>
      </c>
      <c r="E13">
        <v>3</v>
      </c>
      <c r="F13">
        <v>3</v>
      </c>
      <c r="G13">
        <v>16</v>
      </c>
      <c r="H13">
        <v>15</v>
      </c>
      <c r="I13">
        <f t="shared" si="0"/>
        <v>1</v>
      </c>
      <c r="J13">
        <v>9</v>
      </c>
    </row>
    <row r="14" spans="1:10" x14ac:dyDescent="0.3">
      <c r="A14">
        <v>13</v>
      </c>
      <c r="B14" t="s">
        <v>17</v>
      </c>
      <c r="C14">
        <v>8</v>
      </c>
      <c r="D14">
        <v>2</v>
      </c>
      <c r="E14">
        <v>1</v>
      </c>
      <c r="F14">
        <v>5</v>
      </c>
      <c r="G14">
        <v>10</v>
      </c>
      <c r="H14">
        <v>15</v>
      </c>
      <c r="I14">
        <f t="shared" si="0"/>
        <v>-5</v>
      </c>
      <c r="J14">
        <v>7</v>
      </c>
    </row>
    <row r="15" spans="1:10" x14ac:dyDescent="0.3">
      <c r="A15">
        <v>14</v>
      </c>
      <c r="B15" t="s">
        <v>27</v>
      </c>
      <c r="C15">
        <v>8</v>
      </c>
      <c r="D15">
        <v>1</v>
      </c>
      <c r="E15">
        <v>4</v>
      </c>
      <c r="F15">
        <v>3</v>
      </c>
      <c r="G15">
        <v>6</v>
      </c>
      <c r="H15">
        <v>11</v>
      </c>
      <c r="I15">
        <f t="shared" si="0"/>
        <v>-5</v>
      </c>
      <c r="J15">
        <v>7</v>
      </c>
    </row>
    <row r="16" spans="1:10" x14ac:dyDescent="0.3">
      <c r="A16">
        <v>15</v>
      </c>
      <c r="B16" t="s">
        <v>30</v>
      </c>
      <c r="C16">
        <v>8</v>
      </c>
      <c r="D16">
        <v>2</v>
      </c>
      <c r="E16">
        <v>1</v>
      </c>
      <c r="F16">
        <v>5</v>
      </c>
      <c r="G16">
        <v>15</v>
      </c>
      <c r="H16">
        <v>21</v>
      </c>
      <c r="I16">
        <f t="shared" si="0"/>
        <v>-6</v>
      </c>
      <c r="J16">
        <v>7</v>
      </c>
    </row>
    <row r="17" spans="1:10" x14ac:dyDescent="0.3">
      <c r="A17">
        <v>16</v>
      </c>
      <c r="B17" t="s">
        <v>35</v>
      </c>
      <c r="C17">
        <v>8</v>
      </c>
      <c r="D17">
        <v>2</v>
      </c>
      <c r="E17">
        <v>1</v>
      </c>
      <c r="F17">
        <v>5</v>
      </c>
      <c r="G17">
        <v>9</v>
      </c>
      <c r="H17">
        <v>21</v>
      </c>
      <c r="I17">
        <f t="shared" si="0"/>
        <v>-12</v>
      </c>
      <c r="J17">
        <v>7</v>
      </c>
    </row>
    <row r="18" spans="1:10" x14ac:dyDescent="0.3">
      <c r="A18">
        <v>17</v>
      </c>
      <c r="B18" t="s">
        <v>5</v>
      </c>
      <c r="C18">
        <v>8</v>
      </c>
      <c r="D18">
        <v>0</v>
      </c>
      <c r="E18">
        <v>2</v>
      </c>
      <c r="F18">
        <v>6</v>
      </c>
      <c r="G18">
        <v>5</v>
      </c>
      <c r="H18">
        <v>18</v>
      </c>
      <c r="I18">
        <f t="shared" si="0"/>
        <v>-13</v>
      </c>
      <c r="J18">
        <v>2</v>
      </c>
    </row>
    <row r="19" spans="1:10" x14ac:dyDescent="0.3">
      <c r="A19">
        <v>18</v>
      </c>
      <c r="B19" t="s">
        <v>44</v>
      </c>
      <c r="C19">
        <v>8</v>
      </c>
      <c r="D19">
        <v>0</v>
      </c>
      <c r="E19">
        <v>2</v>
      </c>
      <c r="F19">
        <v>6</v>
      </c>
      <c r="G19">
        <v>8</v>
      </c>
      <c r="H19">
        <v>19</v>
      </c>
      <c r="I19">
        <f t="shared" si="0"/>
        <v>-11</v>
      </c>
      <c r="J19">
        <v>-3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7ED33D-0A6F-4B60-A14A-9A00748F11D4}">
  <dimension ref="A1:K19"/>
  <sheetViews>
    <sheetView workbookViewId="0">
      <selection activeCell="J5" sqref="J5"/>
    </sheetView>
  </sheetViews>
  <sheetFormatPr baseColWidth="10" defaultRowHeight="14.4" x14ac:dyDescent="0.3"/>
  <cols>
    <col min="1" max="1" width="6.44140625" bestFit="1" customWidth="1"/>
    <col min="2" max="2" width="19.88671875" bestFit="1" customWidth="1"/>
    <col min="3" max="10" width="5.5546875" customWidth="1"/>
    <col min="11" max="11" width="34" bestFit="1" customWidth="1"/>
  </cols>
  <sheetData>
    <row r="1" spans="1:11" s="1" customFormat="1" x14ac:dyDescent="0.3">
      <c r="A1" s="1" t="s">
        <v>88</v>
      </c>
      <c r="B1" s="1" t="s">
        <v>0</v>
      </c>
      <c r="C1" s="1" t="s">
        <v>80</v>
      </c>
      <c r="D1" s="1" t="s">
        <v>81</v>
      </c>
      <c r="E1" s="1" t="s">
        <v>82</v>
      </c>
      <c r="F1" s="1" t="s">
        <v>83</v>
      </c>
      <c r="G1" s="1" t="s">
        <v>84</v>
      </c>
      <c r="H1" s="1" t="s">
        <v>85</v>
      </c>
      <c r="I1" s="1" t="s">
        <v>86</v>
      </c>
      <c r="J1" s="1" t="s">
        <v>87</v>
      </c>
      <c r="K1" s="1" t="s">
        <v>89</v>
      </c>
    </row>
    <row r="2" spans="1:11" x14ac:dyDescent="0.3">
      <c r="A2">
        <v>1</v>
      </c>
      <c r="B2" t="s">
        <v>12</v>
      </c>
      <c r="C2">
        <v>25</v>
      </c>
      <c r="D2">
        <v>15</v>
      </c>
      <c r="E2">
        <v>8</v>
      </c>
      <c r="F2">
        <v>2</v>
      </c>
      <c r="G2">
        <v>41</v>
      </c>
      <c r="H2">
        <v>16</v>
      </c>
      <c r="I2">
        <f>G2-H2</f>
        <v>25</v>
      </c>
      <c r="J2">
        <v>53</v>
      </c>
      <c r="K2" t="s">
        <v>90</v>
      </c>
    </row>
    <row r="3" spans="1:11" x14ac:dyDescent="0.3">
      <c r="A3">
        <v>2</v>
      </c>
      <c r="B3" t="s">
        <v>43</v>
      </c>
      <c r="C3">
        <v>25</v>
      </c>
      <c r="D3">
        <v>13</v>
      </c>
      <c r="E3">
        <v>7</v>
      </c>
      <c r="F3">
        <v>5</v>
      </c>
      <c r="G3">
        <v>41</v>
      </c>
      <c r="H3">
        <v>26</v>
      </c>
      <c r="I3">
        <f t="shared" ref="I3:I19" si="0">G3-H3</f>
        <v>15</v>
      </c>
      <c r="J3">
        <v>46</v>
      </c>
      <c r="K3" t="s">
        <v>90</v>
      </c>
    </row>
    <row r="4" spans="1:11" x14ac:dyDescent="0.3">
      <c r="A4">
        <v>3</v>
      </c>
      <c r="B4" t="s">
        <v>26</v>
      </c>
      <c r="C4">
        <v>25</v>
      </c>
      <c r="D4">
        <v>13</v>
      </c>
      <c r="E4">
        <v>6</v>
      </c>
      <c r="F4">
        <v>6</v>
      </c>
      <c r="G4">
        <v>35</v>
      </c>
      <c r="H4">
        <v>23</v>
      </c>
      <c r="I4">
        <f t="shared" si="0"/>
        <v>12</v>
      </c>
      <c r="J4">
        <v>45</v>
      </c>
      <c r="K4" t="s">
        <v>91</v>
      </c>
    </row>
    <row r="5" spans="1:11" x14ac:dyDescent="0.3">
      <c r="A5">
        <v>4</v>
      </c>
      <c r="B5" t="s">
        <v>37</v>
      </c>
      <c r="C5">
        <v>25</v>
      </c>
      <c r="D5">
        <v>12</v>
      </c>
      <c r="E5">
        <v>6</v>
      </c>
      <c r="F5">
        <v>7</v>
      </c>
      <c r="G5">
        <v>43</v>
      </c>
      <c r="H5">
        <v>28</v>
      </c>
      <c r="I5">
        <f t="shared" si="0"/>
        <v>15</v>
      </c>
      <c r="J5">
        <v>42</v>
      </c>
      <c r="K5" t="s">
        <v>91</v>
      </c>
    </row>
    <row r="6" spans="1:11" x14ac:dyDescent="0.3">
      <c r="A6">
        <v>5</v>
      </c>
      <c r="B6" t="s">
        <v>23</v>
      </c>
      <c r="C6">
        <v>25</v>
      </c>
      <c r="D6">
        <v>13</v>
      </c>
      <c r="E6">
        <v>3</v>
      </c>
      <c r="F6">
        <v>9</v>
      </c>
      <c r="G6">
        <v>38</v>
      </c>
      <c r="H6">
        <v>36</v>
      </c>
      <c r="I6">
        <f t="shared" si="0"/>
        <v>2</v>
      </c>
      <c r="J6">
        <v>42</v>
      </c>
      <c r="K6" t="s">
        <v>92</v>
      </c>
    </row>
    <row r="7" spans="1:11" x14ac:dyDescent="0.3">
      <c r="A7">
        <v>6</v>
      </c>
      <c r="B7" t="s">
        <v>35</v>
      </c>
      <c r="C7">
        <v>25</v>
      </c>
      <c r="D7">
        <v>12</v>
      </c>
      <c r="E7">
        <v>5</v>
      </c>
      <c r="F7">
        <v>8</v>
      </c>
      <c r="G7">
        <v>34</v>
      </c>
      <c r="H7">
        <v>42</v>
      </c>
      <c r="I7">
        <f t="shared" si="0"/>
        <v>-8</v>
      </c>
      <c r="J7">
        <v>41</v>
      </c>
      <c r="K7" t="s">
        <v>92</v>
      </c>
    </row>
    <row r="8" spans="1:11" x14ac:dyDescent="0.3">
      <c r="A8">
        <v>7</v>
      </c>
      <c r="B8" t="s">
        <v>17</v>
      </c>
      <c r="C8">
        <v>25</v>
      </c>
      <c r="D8">
        <v>12</v>
      </c>
      <c r="E8">
        <v>4</v>
      </c>
      <c r="F8">
        <v>9</v>
      </c>
      <c r="G8">
        <v>44</v>
      </c>
      <c r="H8">
        <v>37</v>
      </c>
      <c r="I8">
        <f t="shared" si="0"/>
        <v>7</v>
      </c>
      <c r="J8">
        <v>40</v>
      </c>
      <c r="K8" t="s">
        <v>92</v>
      </c>
    </row>
    <row r="9" spans="1:11" x14ac:dyDescent="0.3">
      <c r="A9">
        <v>8</v>
      </c>
      <c r="B9" t="s">
        <v>9</v>
      </c>
      <c r="C9">
        <v>25</v>
      </c>
      <c r="D9">
        <v>10</v>
      </c>
      <c r="E9">
        <v>7</v>
      </c>
      <c r="F9">
        <v>8</v>
      </c>
      <c r="G9">
        <v>37</v>
      </c>
      <c r="H9">
        <v>31</v>
      </c>
      <c r="I9">
        <f t="shared" si="0"/>
        <v>6</v>
      </c>
      <c r="J9">
        <v>37</v>
      </c>
      <c r="K9" t="s">
        <v>92</v>
      </c>
    </row>
    <row r="10" spans="1:11" x14ac:dyDescent="0.3">
      <c r="A10">
        <v>9</v>
      </c>
      <c r="B10" t="s">
        <v>42</v>
      </c>
      <c r="C10">
        <v>25</v>
      </c>
      <c r="D10">
        <v>9</v>
      </c>
      <c r="E10">
        <v>5</v>
      </c>
      <c r="F10">
        <v>11</v>
      </c>
      <c r="G10">
        <v>43</v>
      </c>
      <c r="H10">
        <v>38</v>
      </c>
      <c r="I10">
        <f t="shared" si="0"/>
        <v>5</v>
      </c>
      <c r="J10">
        <v>32</v>
      </c>
      <c r="K10" t="s">
        <v>93</v>
      </c>
    </row>
    <row r="11" spans="1:11" x14ac:dyDescent="0.3">
      <c r="A11">
        <v>10</v>
      </c>
      <c r="B11" t="s">
        <v>39</v>
      </c>
      <c r="C11">
        <v>25</v>
      </c>
      <c r="D11">
        <v>9</v>
      </c>
      <c r="E11">
        <v>7</v>
      </c>
      <c r="F11">
        <v>9</v>
      </c>
      <c r="G11">
        <v>27</v>
      </c>
      <c r="H11">
        <v>25</v>
      </c>
      <c r="I11">
        <f t="shared" si="0"/>
        <v>2</v>
      </c>
      <c r="J11">
        <v>30</v>
      </c>
      <c r="K11" t="s">
        <v>93</v>
      </c>
    </row>
    <row r="12" spans="1:11" x14ac:dyDescent="0.3">
      <c r="A12">
        <v>11</v>
      </c>
      <c r="B12" t="s">
        <v>19</v>
      </c>
      <c r="C12">
        <v>25</v>
      </c>
      <c r="D12">
        <v>7</v>
      </c>
      <c r="E12">
        <v>9</v>
      </c>
      <c r="F12">
        <v>9</v>
      </c>
      <c r="G12">
        <v>34</v>
      </c>
      <c r="H12">
        <v>35</v>
      </c>
      <c r="I12">
        <f t="shared" si="0"/>
        <v>-1</v>
      </c>
      <c r="J12">
        <v>30</v>
      </c>
      <c r="K12" t="s">
        <v>93</v>
      </c>
    </row>
    <row r="13" spans="1:11" x14ac:dyDescent="0.3">
      <c r="A13">
        <v>12</v>
      </c>
      <c r="B13" t="s">
        <v>15</v>
      </c>
      <c r="C13">
        <v>25</v>
      </c>
      <c r="D13">
        <v>8</v>
      </c>
      <c r="E13">
        <v>5</v>
      </c>
      <c r="F13">
        <v>12</v>
      </c>
      <c r="G13">
        <v>22</v>
      </c>
      <c r="H13">
        <v>27</v>
      </c>
      <c r="I13">
        <f t="shared" si="0"/>
        <v>-5</v>
      </c>
      <c r="J13">
        <v>29</v>
      </c>
      <c r="K13" t="s">
        <v>93</v>
      </c>
    </row>
    <row r="14" spans="1:11" x14ac:dyDescent="0.3">
      <c r="A14">
        <v>13</v>
      </c>
      <c r="B14" t="s">
        <v>24</v>
      </c>
      <c r="C14">
        <v>25</v>
      </c>
      <c r="D14">
        <v>8</v>
      </c>
      <c r="E14">
        <v>5</v>
      </c>
      <c r="F14">
        <v>12</v>
      </c>
      <c r="G14">
        <v>33</v>
      </c>
      <c r="H14">
        <v>42</v>
      </c>
      <c r="I14">
        <f t="shared" si="0"/>
        <v>-9</v>
      </c>
      <c r="J14">
        <v>29</v>
      </c>
      <c r="K14" t="s">
        <v>93</v>
      </c>
    </row>
    <row r="15" spans="1:11" x14ac:dyDescent="0.3">
      <c r="A15">
        <v>14</v>
      </c>
      <c r="B15" t="s">
        <v>32</v>
      </c>
      <c r="C15">
        <v>25</v>
      </c>
      <c r="D15">
        <v>7</v>
      </c>
      <c r="E15">
        <v>7</v>
      </c>
      <c r="F15">
        <v>11</v>
      </c>
      <c r="G15">
        <v>36</v>
      </c>
      <c r="H15">
        <v>51</v>
      </c>
      <c r="I15">
        <f t="shared" si="0"/>
        <v>-15</v>
      </c>
      <c r="J15">
        <v>28</v>
      </c>
      <c r="K15" t="s">
        <v>94</v>
      </c>
    </row>
    <row r="16" spans="1:11" x14ac:dyDescent="0.3">
      <c r="A16">
        <v>15</v>
      </c>
      <c r="B16" t="s">
        <v>27</v>
      </c>
      <c r="C16">
        <v>25</v>
      </c>
      <c r="D16">
        <v>6</v>
      </c>
      <c r="E16">
        <v>7</v>
      </c>
      <c r="F16">
        <v>12</v>
      </c>
      <c r="G16">
        <v>23</v>
      </c>
      <c r="H16">
        <v>35</v>
      </c>
      <c r="I16">
        <f t="shared" si="0"/>
        <v>-12</v>
      </c>
      <c r="J16">
        <v>25</v>
      </c>
      <c r="K16" t="s">
        <v>94</v>
      </c>
    </row>
    <row r="17" spans="1:11" x14ac:dyDescent="0.3">
      <c r="A17">
        <v>16</v>
      </c>
      <c r="B17" t="s">
        <v>30</v>
      </c>
      <c r="C17">
        <v>25</v>
      </c>
      <c r="D17">
        <v>6</v>
      </c>
      <c r="E17">
        <v>6</v>
      </c>
      <c r="F17">
        <v>13</v>
      </c>
      <c r="G17">
        <v>38</v>
      </c>
      <c r="H17">
        <v>49</v>
      </c>
      <c r="I17">
        <f t="shared" si="0"/>
        <v>-11</v>
      </c>
      <c r="J17">
        <v>23</v>
      </c>
      <c r="K17" t="s">
        <v>95</v>
      </c>
    </row>
    <row r="18" spans="1:11" x14ac:dyDescent="0.3">
      <c r="A18">
        <v>17</v>
      </c>
      <c r="B18" t="s">
        <v>5</v>
      </c>
      <c r="C18">
        <v>25</v>
      </c>
      <c r="D18">
        <v>5</v>
      </c>
      <c r="E18">
        <v>7</v>
      </c>
      <c r="F18">
        <v>13</v>
      </c>
      <c r="G18">
        <v>27</v>
      </c>
      <c r="H18">
        <v>39</v>
      </c>
      <c r="I18">
        <f t="shared" si="0"/>
        <v>-12</v>
      </c>
      <c r="J18">
        <v>21</v>
      </c>
      <c r="K18" t="s">
        <v>96</v>
      </c>
    </row>
    <row r="19" spans="1:11" x14ac:dyDescent="0.3">
      <c r="A19">
        <v>18</v>
      </c>
      <c r="B19" t="s">
        <v>44</v>
      </c>
      <c r="C19">
        <v>25</v>
      </c>
      <c r="D19">
        <v>4</v>
      </c>
      <c r="E19">
        <v>8</v>
      </c>
      <c r="F19">
        <v>13</v>
      </c>
      <c r="G19">
        <v>29</v>
      </c>
      <c r="H19">
        <v>45</v>
      </c>
      <c r="I19">
        <f t="shared" si="0"/>
        <v>-16</v>
      </c>
      <c r="J19">
        <v>10</v>
      </c>
      <c r="K19" t="s">
        <v>96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62983-6FB7-4ECD-8009-F6A80D39136C}">
  <dimension ref="A1:F53"/>
  <sheetViews>
    <sheetView tabSelected="1" topLeftCell="A7" workbookViewId="0">
      <selection activeCell="A53" sqref="A53"/>
    </sheetView>
  </sheetViews>
  <sheetFormatPr baseColWidth="10" defaultRowHeight="14.4" x14ac:dyDescent="0.3"/>
  <cols>
    <col min="1" max="1" width="10.6640625" bestFit="1" customWidth="1"/>
    <col min="2" max="3" width="18.44140625" bestFit="1" customWidth="1"/>
    <col min="4" max="5" width="6.109375" customWidth="1"/>
    <col min="6" max="6" width="28.6640625" bestFit="1" customWidth="1"/>
  </cols>
  <sheetData>
    <row r="1" spans="1:6" x14ac:dyDescent="0.3">
      <c r="A1" s="1" t="s">
        <v>97</v>
      </c>
      <c r="B1" s="1" t="s">
        <v>47</v>
      </c>
      <c r="C1" s="1" t="s">
        <v>188</v>
      </c>
      <c r="D1" s="1" t="s">
        <v>189</v>
      </c>
      <c r="E1" s="1" t="s">
        <v>190</v>
      </c>
      <c r="F1" s="1" t="s">
        <v>191</v>
      </c>
    </row>
    <row r="2" spans="1:6" x14ac:dyDescent="0.3">
      <c r="A2" s="3">
        <v>45499</v>
      </c>
      <c r="B2" t="s">
        <v>43</v>
      </c>
      <c r="C2" t="s">
        <v>12</v>
      </c>
      <c r="D2">
        <v>2</v>
      </c>
      <c r="E2">
        <v>1</v>
      </c>
      <c r="F2" t="s">
        <v>192</v>
      </c>
    </row>
    <row r="3" spans="1:6" x14ac:dyDescent="0.3">
      <c r="A3" s="3">
        <v>45332</v>
      </c>
      <c r="B3" t="s">
        <v>12</v>
      </c>
      <c r="C3" t="s">
        <v>43</v>
      </c>
      <c r="D3">
        <v>0</v>
      </c>
      <c r="E3">
        <v>1</v>
      </c>
      <c r="F3" t="s">
        <v>192</v>
      </c>
    </row>
    <row r="4" spans="1:6" x14ac:dyDescent="0.3">
      <c r="A4" s="3">
        <v>44976</v>
      </c>
      <c r="B4" t="s">
        <v>43</v>
      </c>
      <c r="C4" t="s">
        <v>12</v>
      </c>
      <c r="D4">
        <v>1</v>
      </c>
      <c r="E4">
        <v>2</v>
      </c>
      <c r="F4" t="s">
        <v>193</v>
      </c>
    </row>
    <row r="5" spans="1:6" x14ac:dyDescent="0.3">
      <c r="A5" s="3">
        <v>44808</v>
      </c>
      <c r="B5" t="s">
        <v>12</v>
      </c>
      <c r="C5" t="s">
        <v>43</v>
      </c>
      <c r="D5">
        <v>0</v>
      </c>
      <c r="E5">
        <v>2</v>
      </c>
      <c r="F5" t="s">
        <v>194</v>
      </c>
    </row>
    <row r="6" spans="1:6" x14ac:dyDescent="0.3">
      <c r="A6" s="3">
        <v>44668</v>
      </c>
      <c r="B6" t="s">
        <v>43</v>
      </c>
      <c r="C6" t="s">
        <v>12</v>
      </c>
      <c r="D6">
        <v>1</v>
      </c>
      <c r="E6">
        <v>4</v>
      </c>
      <c r="F6" t="s">
        <v>195</v>
      </c>
    </row>
    <row r="7" spans="1:6" x14ac:dyDescent="0.3">
      <c r="A7" s="3">
        <v>44426</v>
      </c>
      <c r="B7" t="s">
        <v>43</v>
      </c>
      <c r="C7" t="s">
        <v>12</v>
      </c>
      <c r="D7">
        <v>1</v>
      </c>
      <c r="E7">
        <v>2</v>
      </c>
      <c r="F7" t="s">
        <v>196</v>
      </c>
    </row>
    <row r="8" spans="1:6" x14ac:dyDescent="0.3">
      <c r="A8" s="3">
        <v>43898</v>
      </c>
      <c r="B8" t="s">
        <v>43</v>
      </c>
      <c r="C8" t="s">
        <v>12</v>
      </c>
      <c r="D8">
        <v>2</v>
      </c>
      <c r="E8">
        <v>0</v>
      </c>
      <c r="F8" t="s">
        <v>197</v>
      </c>
    </row>
    <row r="9" spans="1:6" x14ac:dyDescent="0.3">
      <c r="A9" s="3">
        <v>43737</v>
      </c>
      <c r="B9" t="s">
        <v>43</v>
      </c>
      <c r="C9" t="s">
        <v>12</v>
      </c>
      <c r="D9">
        <v>1</v>
      </c>
      <c r="E9">
        <v>0</v>
      </c>
      <c r="F9" t="s">
        <v>198</v>
      </c>
    </row>
    <row r="10" spans="1:6" x14ac:dyDescent="0.3">
      <c r="A10" s="3">
        <v>43570</v>
      </c>
      <c r="B10" t="s">
        <v>12</v>
      </c>
      <c r="C10" t="s">
        <v>43</v>
      </c>
      <c r="D10">
        <v>2</v>
      </c>
      <c r="E10">
        <v>3</v>
      </c>
      <c r="F10" t="s">
        <v>199</v>
      </c>
    </row>
    <row r="11" spans="1:6" x14ac:dyDescent="0.3">
      <c r="A11" s="3">
        <v>43407</v>
      </c>
      <c r="B11" t="s">
        <v>12</v>
      </c>
      <c r="C11" t="s">
        <v>43</v>
      </c>
      <c r="D11">
        <v>2</v>
      </c>
      <c r="E11">
        <v>1</v>
      </c>
      <c r="F11" t="s">
        <v>200</v>
      </c>
    </row>
    <row r="12" spans="1:6" x14ac:dyDescent="0.3">
      <c r="A12" s="3">
        <v>45499</v>
      </c>
      <c r="B12" t="s">
        <v>43</v>
      </c>
      <c r="C12" t="s">
        <v>12</v>
      </c>
      <c r="D12">
        <v>2</v>
      </c>
      <c r="E12">
        <v>1</v>
      </c>
      <c r="F12" t="s">
        <v>192</v>
      </c>
    </row>
    <row r="13" spans="1:6" x14ac:dyDescent="0.3">
      <c r="A13" s="3">
        <v>45332</v>
      </c>
      <c r="B13" t="s">
        <v>12</v>
      </c>
      <c r="C13" t="s">
        <v>43</v>
      </c>
      <c r="D13">
        <v>0</v>
      </c>
      <c r="E13">
        <v>1</v>
      </c>
      <c r="F13" t="s">
        <v>192</v>
      </c>
    </row>
    <row r="14" spans="1:6" x14ac:dyDescent="0.3">
      <c r="A14" s="3">
        <v>44976</v>
      </c>
      <c r="B14" t="s">
        <v>43</v>
      </c>
      <c r="C14" t="s">
        <v>12</v>
      </c>
      <c r="D14">
        <v>1</v>
      </c>
      <c r="E14">
        <v>2</v>
      </c>
      <c r="F14" t="s">
        <v>193</v>
      </c>
    </row>
    <row r="15" spans="1:6" x14ac:dyDescent="0.3">
      <c r="A15" s="3">
        <v>44808</v>
      </c>
      <c r="B15" t="s">
        <v>12</v>
      </c>
      <c r="C15" t="s">
        <v>43</v>
      </c>
      <c r="D15">
        <v>0</v>
      </c>
      <c r="E15">
        <v>2</v>
      </c>
      <c r="F15" t="s">
        <v>194</v>
      </c>
    </row>
    <row r="16" spans="1:6" x14ac:dyDescent="0.3">
      <c r="A16" s="3">
        <v>44668</v>
      </c>
      <c r="B16" t="s">
        <v>43</v>
      </c>
      <c r="C16" t="s">
        <v>12</v>
      </c>
      <c r="D16">
        <v>1</v>
      </c>
      <c r="E16">
        <v>4</v>
      </c>
      <c r="F16" t="s">
        <v>195</v>
      </c>
    </row>
    <row r="17" spans="1:6" x14ac:dyDescent="0.3">
      <c r="A17" s="3">
        <v>44426</v>
      </c>
      <c r="B17" t="s">
        <v>43</v>
      </c>
      <c r="C17" t="s">
        <v>12</v>
      </c>
      <c r="D17">
        <v>1</v>
      </c>
      <c r="E17">
        <v>2</v>
      </c>
      <c r="F17" t="s">
        <v>196</v>
      </c>
    </row>
    <row r="18" spans="1:6" x14ac:dyDescent="0.3">
      <c r="A18" s="3">
        <v>43898</v>
      </c>
      <c r="B18" t="s">
        <v>43</v>
      </c>
      <c r="C18" t="s">
        <v>12</v>
      </c>
      <c r="D18">
        <v>2</v>
      </c>
      <c r="E18">
        <v>0</v>
      </c>
      <c r="F18" t="s">
        <v>197</v>
      </c>
    </row>
    <row r="19" spans="1:6" x14ac:dyDescent="0.3">
      <c r="A19" s="3">
        <v>43737</v>
      </c>
      <c r="B19" t="s">
        <v>43</v>
      </c>
      <c r="C19" t="s">
        <v>12</v>
      </c>
      <c r="D19">
        <v>1</v>
      </c>
      <c r="E19">
        <v>0</v>
      </c>
      <c r="F19" t="s">
        <v>198</v>
      </c>
    </row>
    <row r="20" spans="1:6" x14ac:dyDescent="0.3">
      <c r="A20" s="3">
        <v>43570</v>
      </c>
      <c r="B20" t="s">
        <v>12</v>
      </c>
      <c r="C20" t="s">
        <v>43</v>
      </c>
      <c r="D20">
        <v>2</v>
      </c>
      <c r="E20">
        <v>3</v>
      </c>
      <c r="F20" t="s">
        <v>199</v>
      </c>
    </row>
    <row r="21" spans="1:6" x14ac:dyDescent="0.3">
      <c r="A21" s="3">
        <v>43407</v>
      </c>
      <c r="B21" t="s">
        <v>12</v>
      </c>
      <c r="C21" t="s">
        <v>43</v>
      </c>
      <c r="D21">
        <v>2</v>
      </c>
      <c r="E21">
        <v>1</v>
      </c>
      <c r="F21" t="s">
        <v>200</v>
      </c>
    </row>
    <row r="22" spans="1:6" x14ac:dyDescent="0.3">
      <c r="A22" s="3">
        <v>46242</v>
      </c>
      <c r="B22" t="s">
        <v>43</v>
      </c>
      <c r="C22" t="s">
        <v>42</v>
      </c>
      <c r="D22">
        <v>1</v>
      </c>
      <c r="E22">
        <v>1</v>
      </c>
      <c r="F22" t="s">
        <v>192</v>
      </c>
    </row>
    <row r="23" spans="1:6" x14ac:dyDescent="0.3">
      <c r="A23" s="3">
        <v>46074</v>
      </c>
      <c r="B23" t="s">
        <v>42</v>
      </c>
      <c r="C23" t="s">
        <v>43</v>
      </c>
      <c r="D23">
        <v>2</v>
      </c>
      <c r="E23">
        <v>2</v>
      </c>
      <c r="F23" t="s">
        <v>192</v>
      </c>
    </row>
    <row r="24" spans="1:6" x14ac:dyDescent="0.3">
      <c r="A24" s="3">
        <v>45954</v>
      </c>
      <c r="B24" t="s">
        <v>42</v>
      </c>
      <c r="C24" t="s">
        <v>43</v>
      </c>
      <c r="D24">
        <v>0</v>
      </c>
      <c r="E24">
        <v>1</v>
      </c>
      <c r="F24" t="s">
        <v>192</v>
      </c>
    </row>
    <row r="25" spans="1:6" x14ac:dyDescent="0.3">
      <c r="A25" s="3">
        <v>45800</v>
      </c>
      <c r="B25" t="s">
        <v>43</v>
      </c>
      <c r="C25" t="s">
        <v>42</v>
      </c>
      <c r="D25">
        <v>2</v>
      </c>
      <c r="E25">
        <v>0</v>
      </c>
      <c r="F25" t="s">
        <v>192</v>
      </c>
    </row>
    <row r="26" spans="1:6" x14ac:dyDescent="0.3">
      <c r="A26" s="3">
        <v>45589</v>
      </c>
      <c r="B26" t="s">
        <v>42</v>
      </c>
      <c r="C26" t="s">
        <v>43</v>
      </c>
      <c r="D26">
        <v>2</v>
      </c>
      <c r="E26">
        <v>1</v>
      </c>
      <c r="F26" t="s">
        <v>192</v>
      </c>
    </row>
    <row r="27" spans="1:6" x14ac:dyDescent="0.3">
      <c r="A27" s="3">
        <v>45425</v>
      </c>
      <c r="B27" t="s">
        <v>43</v>
      </c>
      <c r="C27" t="s">
        <v>42</v>
      </c>
      <c r="D27">
        <v>4</v>
      </c>
      <c r="E27">
        <v>1</v>
      </c>
      <c r="F27" t="s">
        <v>192</v>
      </c>
    </row>
    <row r="28" spans="1:6" x14ac:dyDescent="0.3">
      <c r="A28" s="3">
        <v>45186</v>
      </c>
      <c r="B28" t="s">
        <v>42</v>
      </c>
      <c r="C28" t="s">
        <v>43</v>
      </c>
      <c r="D28">
        <v>0</v>
      </c>
      <c r="E28">
        <v>0</v>
      </c>
      <c r="F28" t="s">
        <v>201</v>
      </c>
    </row>
    <row r="29" spans="1:6" x14ac:dyDescent="0.3">
      <c r="A29" s="3">
        <v>45041</v>
      </c>
      <c r="B29" t="s">
        <v>43</v>
      </c>
      <c r="C29" t="s">
        <v>42</v>
      </c>
      <c r="D29">
        <v>2</v>
      </c>
      <c r="E29">
        <v>0</v>
      </c>
      <c r="F29" t="s">
        <v>193</v>
      </c>
    </row>
    <row r="30" spans="1:6" x14ac:dyDescent="0.3">
      <c r="A30" s="3">
        <v>44843</v>
      </c>
      <c r="B30" t="s">
        <v>42</v>
      </c>
      <c r="C30" t="s">
        <v>43</v>
      </c>
      <c r="D30">
        <v>0</v>
      </c>
      <c r="E30">
        <v>0</v>
      </c>
      <c r="F30" t="s">
        <v>202</v>
      </c>
    </row>
    <row r="31" spans="1:6" x14ac:dyDescent="0.3">
      <c r="A31" s="3">
        <v>44703</v>
      </c>
      <c r="B31" t="s">
        <v>43</v>
      </c>
      <c r="C31" t="s">
        <v>42</v>
      </c>
      <c r="D31">
        <v>1</v>
      </c>
      <c r="E31">
        <v>1</v>
      </c>
      <c r="F31" t="s">
        <v>203</v>
      </c>
    </row>
    <row r="32" spans="1:6" x14ac:dyDescent="0.3">
      <c r="A32" s="3">
        <v>46251</v>
      </c>
      <c r="B32" t="s">
        <v>17</v>
      </c>
      <c r="C32" t="s">
        <v>26</v>
      </c>
      <c r="D32">
        <v>0</v>
      </c>
      <c r="E32">
        <v>0</v>
      </c>
      <c r="F32" t="s">
        <v>192</v>
      </c>
    </row>
    <row r="33" spans="1:6" x14ac:dyDescent="0.3">
      <c r="A33" s="3">
        <v>46081</v>
      </c>
      <c r="B33" t="s">
        <v>26</v>
      </c>
      <c r="C33" t="s">
        <v>17</v>
      </c>
      <c r="D33">
        <v>2</v>
      </c>
      <c r="E33">
        <v>3</v>
      </c>
      <c r="F33" t="s">
        <v>192</v>
      </c>
    </row>
    <row r="34" spans="1:6" x14ac:dyDescent="0.3">
      <c r="A34" s="3">
        <v>45871</v>
      </c>
      <c r="B34" t="s">
        <v>26</v>
      </c>
      <c r="C34" t="s">
        <v>17</v>
      </c>
      <c r="D34">
        <v>2</v>
      </c>
      <c r="E34">
        <v>1</v>
      </c>
      <c r="F34" t="s">
        <v>192</v>
      </c>
    </row>
    <row r="35" spans="1:6" x14ac:dyDescent="0.3">
      <c r="A35" s="3">
        <v>45711</v>
      </c>
      <c r="B35" t="s">
        <v>17</v>
      </c>
      <c r="C35" t="s">
        <v>26</v>
      </c>
      <c r="D35">
        <v>2</v>
      </c>
      <c r="E35">
        <v>3</v>
      </c>
      <c r="F35" t="s">
        <v>192</v>
      </c>
    </row>
    <row r="36" spans="1:6" x14ac:dyDescent="0.3">
      <c r="A36" s="3">
        <v>45557</v>
      </c>
      <c r="B36" t="s">
        <v>26</v>
      </c>
      <c r="C36" t="s">
        <v>17</v>
      </c>
      <c r="D36">
        <v>1</v>
      </c>
      <c r="E36">
        <v>0</v>
      </c>
      <c r="F36" t="s">
        <v>192</v>
      </c>
    </row>
    <row r="37" spans="1:6" x14ac:dyDescent="0.3">
      <c r="A37" s="3">
        <v>45402</v>
      </c>
      <c r="B37" t="s">
        <v>17</v>
      </c>
      <c r="C37" t="s">
        <v>26</v>
      </c>
      <c r="D37">
        <v>0</v>
      </c>
      <c r="E37">
        <v>2</v>
      </c>
      <c r="F37" t="s">
        <v>192</v>
      </c>
    </row>
    <row r="38" spans="1:6" x14ac:dyDescent="0.3">
      <c r="A38" s="3">
        <v>45194</v>
      </c>
      <c r="B38" t="s">
        <v>26</v>
      </c>
      <c r="C38" t="s">
        <v>17</v>
      </c>
      <c r="D38">
        <v>0</v>
      </c>
      <c r="E38">
        <v>3</v>
      </c>
      <c r="F38" t="s">
        <v>201</v>
      </c>
    </row>
    <row r="39" spans="1:6" x14ac:dyDescent="0.3">
      <c r="A39" s="3">
        <v>45053</v>
      </c>
      <c r="B39" t="s">
        <v>17</v>
      </c>
      <c r="C39" t="s">
        <v>26</v>
      </c>
      <c r="D39">
        <v>0</v>
      </c>
      <c r="E39">
        <v>0</v>
      </c>
      <c r="F39" t="s">
        <v>193</v>
      </c>
    </row>
    <row r="40" spans="1:6" x14ac:dyDescent="0.3">
      <c r="A40" s="3">
        <v>46088</v>
      </c>
      <c r="B40" t="s">
        <v>19</v>
      </c>
      <c r="C40" t="s">
        <v>44</v>
      </c>
      <c r="D40">
        <v>1</v>
      </c>
      <c r="E40">
        <v>2</v>
      </c>
      <c r="F40" t="s">
        <v>192</v>
      </c>
    </row>
    <row r="41" spans="1:6" x14ac:dyDescent="0.3">
      <c r="A41" s="3">
        <v>46047</v>
      </c>
      <c r="B41" t="s">
        <v>44</v>
      </c>
      <c r="C41" t="s">
        <v>19</v>
      </c>
      <c r="D41">
        <v>1</v>
      </c>
      <c r="E41">
        <v>1</v>
      </c>
      <c r="F41" t="s">
        <v>204</v>
      </c>
    </row>
    <row r="42" spans="1:6" x14ac:dyDescent="0.3">
      <c r="A42" s="3">
        <v>46043</v>
      </c>
      <c r="B42" t="s">
        <v>19</v>
      </c>
      <c r="C42" t="s">
        <v>44</v>
      </c>
      <c r="D42">
        <v>0</v>
      </c>
      <c r="E42">
        <v>1</v>
      </c>
      <c r="F42" t="s">
        <v>204</v>
      </c>
    </row>
    <row r="43" spans="1:6" x14ac:dyDescent="0.3">
      <c r="A43" s="3">
        <v>45933</v>
      </c>
      <c r="B43" t="s">
        <v>19</v>
      </c>
      <c r="C43" t="s">
        <v>44</v>
      </c>
      <c r="D43">
        <v>2</v>
      </c>
      <c r="E43">
        <v>1</v>
      </c>
      <c r="F43" t="s">
        <v>192</v>
      </c>
    </row>
    <row r="44" spans="1:6" x14ac:dyDescent="0.3">
      <c r="A44" s="3">
        <v>45794</v>
      </c>
      <c r="B44" t="s">
        <v>44</v>
      </c>
      <c r="C44" t="s">
        <v>19</v>
      </c>
      <c r="D44">
        <v>2</v>
      </c>
      <c r="E44">
        <v>0</v>
      </c>
      <c r="F44" t="s">
        <v>192</v>
      </c>
    </row>
    <row r="45" spans="1:6" x14ac:dyDescent="0.3">
      <c r="A45" s="3">
        <v>45519</v>
      </c>
      <c r="B45" t="s">
        <v>19</v>
      </c>
      <c r="C45" t="s">
        <v>44</v>
      </c>
      <c r="D45">
        <v>1</v>
      </c>
      <c r="E45">
        <v>1</v>
      </c>
      <c r="F45" t="s">
        <v>192</v>
      </c>
    </row>
    <row r="46" spans="1:6" x14ac:dyDescent="0.3">
      <c r="A46" s="3">
        <v>45359</v>
      </c>
      <c r="B46" t="s">
        <v>44</v>
      </c>
      <c r="C46" t="s">
        <v>19</v>
      </c>
      <c r="D46">
        <v>2</v>
      </c>
      <c r="E46">
        <v>3</v>
      </c>
      <c r="F46" t="s">
        <v>192</v>
      </c>
    </row>
    <row r="47" spans="1:6" x14ac:dyDescent="0.3">
      <c r="A47" s="3">
        <v>44359</v>
      </c>
      <c r="B47" t="s">
        <v>19</v>
      </c>
      <c r="C47" t="s">
        <v>44</v>
      </c>
      <c r="D47">
        <v>0</v>
      </c>
      <c r="E47">
        <v>1</v>
      </c>
      <c r="F47" t="s">
        <v>205</v>
      </c>
    </row>
    <row r="48" spans="1:6" x14ac:dyDescent="0.3">
      <c r="A48" s="3">
        <v>43639</v>
      </c>
      <c r="B48" t="s">
        <v>19</v>
      </c>
      <c r="C48" t="s">
        <v>44</v>
      </c>
      <c r="D48">
        <v>0</v>
      </c>
      <c r="E48">
        <v>1</v>
      </c>
      <c r="F48" t="s">
        <v>205</v>
      </c>
    </row>
    <row r="49" spans="1:6" x14ac:dyDescent="0.3">
      <c r="A49" s="3">
        <v>43408</v>
      </c>
      <c r="B49" t="s">
        <v>19</v>
      </c>
      <c r="C49" t="s">
        <v>44</v>
      </c>
      <c r="D49">
        <v>0</v>
      </c>
      <c r="E49">
        <v>0</v>
      </c>
      <c r="F49" t="s">
        <v>192</v>
      </c>
    </row>
    <row r="50" spans="1:6" x14ac:dyDescent="0.3">
      <c r="A50" s="3">
        <v>46094</v>
      </c>
      <c r="B50" t="s">
        <v>23</v>
      </c>
      <c r="C50" t="s">
        <v>17</v>
      </c>
      <c r="D50">
        <v>1</v>
      </c>
      <c r="E50">
        <v>2</v>
      </c>
      <c r="F50" t="s">
        <v>192</v>
      </c>
    </row>
    <row r="51" spans="1:6" x14ac:dyDescent="0.3">
      <c r="A51" s="3">
        <v>46087</v>
      </c>
      <c r="B51" t="s">
        <v>23</v>
      </c>
      <c r="C51" t="s">
        <v>26</v>
      </c>
      <c r="D51">
        <v>1</v>
      </c>
      <c r="E51">
        <v>0</v>
      </c>
      <c r="F51" t="s">
        <v>192</v>
      </c>
    </row>
    <row r="52" spans="1:6" x14ac:dyDescent="0.3">
      <c r="A52" s="3">
        <v>46150</v>
      </c>
      <c r="B52" t="s">
        <v>44</v>
      </c>
      <c r="C52" t="s">
        <v>30</v>
      </c>
      <c r="D52">
        <v>1</v>
      </c>
      <c r="E52">
        <v>2</v>
      </c>
      <c r="F52" t="s">
        <v>192</v>
      </c>
    </row>
    <row r="53" spans="1:6" x14ac:dyDescent="0.3">
      <c r="A53" s="3">
        <v>46094</v>
      </c>
      <c r="B53" t="s">
        <v>30</v>
      </c>
      <c r="C53" t="s">
        <v>19</v>
      </c>
      <c r="D53">
        <v>3</v>
      </c>
      <c r="E53">
        <v>4</v>
      </c>
      <c r="F53" t="s">
        <v>192</v>
      </c>
    </row>
  </sheetData>
  <autoFilter ref="A1:F49" xr:uid="{C44658E9-550F-457F-A480-CF6AF9928AF6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Data_Geografica</vt:lpstr>
      <vt:lpstr>Partidos_Fecha</vt:lpstr>
      <vt:lpstr>Resultados_Apertura</vt:lpstr>
      <vt:lpstr>Resultados_Clausura</vt:lpstr>
      <vt:lpstr>Tabla_Clausura</vt:lpstr>
      <vt:lpstr>Tabla_Acumulada</vt:lpstr>
      <vt:lpstr>Historial_H2H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GIULIANNO</dc:creator>
  <cp:lastModifiedBy>GIULIANNO TARRILLO URIARTE</cp:lastModifiedBy>
  <dcterms:created xsi:type="dcterms:W3CDTF">2026-09-05T00:54:48Z</dcterms:created>
  <dcterms:modified xsi:type="dcterms:W3CDTF">2026-09-11T16:20:46Z</dcterms:modified>
</cp:coreProperties>
</file>