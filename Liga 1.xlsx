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MPRESA\"/>
    </mc:Choice>
  </mc:AlternateContent>
  <xr:revisionPtr revIDLastSave="0" documentId="8_{71C18A46-D0DF-47B0-A700-F3FCF9C1E078}" xr6:coauthVersionLast="45" xr6:coauthVersionMax="45" xr10:uidLastSave="{00000000-0000-0000-0000-000000000000}"/>
  <bookViews>
    <workbookView xWindow="-108" yWindow="-108" windowWidth="30936" windowHeight="16896" xr2:uid="{F65AA1A5-5127-43BD-8A19-36C436C51554}"/>
  </bookViews>
  <sheets>
    <sheet name="Tabla_Posiciones" sheetId="2" r:id="rId1"/>
    <sheet name="Data_Geografic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9" i="2" l="1"/>
  <c r="K46" i="2"/>
  <c r="K35" i="2"/>
  <c r="K34" i="2"/>
  <c r="K33" i="2"/>
  <c r="K40" i="2"/>
  <c r="K36" i="2"/>
  <c r="K38" i="2"/>
  <c r="K32" i="2"/>
  <c r="K44" i="2"/>
  <c r="K67" i="2" s="1"/>
  <c r="K41" i="2"/>
  <c r="K64" i="2" s="1"/>
  <c r="K42" i="2"/>
  <c r="K56" i="2" s="1"/>
  <c r="K31" i="2"/>
  <c r="K37" i="2"/>
  <c r="K30" i="2"/>
  <c r="K43" i="2"/>
  <c r="K45" i="2"/>
  <c r="K39" i="2"/>
  <c r="K65" i="2"/>
  <c r="K62" i="2"/>
  <c r="K22" i="2"/>
  <c r="K16" i="2"/>
  <c r="K66" i="2" s="1"/>
  <c r="K11" i="2"/>
  <c r="K19" i="2"/>
  <c r="K14" i="2"/>
  <c r="K12" i="2"/>
  <c r="K7" i="2"/>
  <c r="K20" i="2"/>
  <c r="K21" i="2"/>
  <c r="K13" i="2"/>
  <c r="K18" i="2"/>
  <c r="K9" i="2"/>
  <c r="K15" i="2"/>
  <c r="K10" i="2"/>
  <c r="K57" i="2" s="1"/>
  <c r="K17" i="2"/>
  <c r="K6" i="2"/>
  <c r="K23" i="2"/>
  <c r="K8" i="2"/>
  <c r="E68" i="2"/>
  <c r="F68" i="2"/>
  <c r="G68" i="2"/>
  <c r="H68" i="2"/>
  <c r="I68" i="2"/>
  <c r="J68" i="2"/>
  <c r="K68" i="2"/>
  <c r="L68" i="2"/>
  <c r="E66" i="2"/>
  <c r="F66" i="2"/>
  <c r="G66" i="2"/>
  <c r="H66" i="2"/>
  <c r="I66" i="2"/>
  <c r="J66" i="2"/>
  <c r="L66" i="2"/>
  <c r="E53" i="2"/>
  <c r="F53" i="2"/>
  <c r="G53" i="2"/>
  <c r="H53" i="2"/>
  <c r="I53" i="2"/>
  <c r="J53" i="2"/>
  <c r="L53" i="2"/>
  <c r="E60" i="2"/>
  <c r="F60" i="2"/>
  <c r="G60" i="2"/>
  <c r="H60" i="2"/>
  <c r="I60" i="2"/>
  <c r="J60" i="2"/>
  <c r="L60" i="2"/>
  <c r="E54" i="2"/>
  <c r="F54" i="2"/>
  <c r="G54" i="2"/>
  <c r="H54" i="2"/>
  <c r="I54" i="2"/>
  <c r="J54" i="2"/>
  <c r="L54" i="2"/>
  <c r="E65" i="2"/>
  <c r="F65" i="2"/>
  <c r="G65" i="2"/>
  <c r="H65" i="2"/>
  <c r="I65" i="2"/>
  <c r="J65" i="2"/>
  <c r="L65" i="2"/>
  <c r="E64" i="2"/>
  <c r="F64" i="2"/>
  <c r="G64" i="2"/>
  <c r="H64" i="2"/>
  <c r="I64" i="2"/>
  <c r="J64" i="2"/>
  <c r="L64" i="2"/>
  <c r="E67" i="2"/>
  <c r="F67" i="2"/>
  <c r="G67" i="2"/>
  <c r="H67" i="2"/>
  <c r="I67" i="2"/>
  <c r="J67" i="2"/>
  <c r="L67" i="2"/>
  <c r="E55" i="2"/>
  <c r="F55" i="2"/>
  <c r="G55" i="2"/>
  <c r="H55" i="2"/>
  <c r="I55" i="2"/>
  <c r="J55" i="2"/>
  <c r="L55" i="2"/>
  <c r="E61" i="2"/>
  <c r="F61" i="2"/>
  <c r="G61" i="2"/>
  <c r="H61" i="2"/>
  <c r="I61" i="2"/>
  <c r="J61" i="2"/>
  <c r="L61" i="2"/>
  <c r="E59" i="2"/>
  <c r="F59" i="2"/>
  <c r="G59" i="2"/>
  <c r="H59" i="2"/>
  <c r="I59" i="2"/>
  <c r="J59" i="2"/>
  <c r="L59" i="2"/>
  <c r="E63" i="2"/>
  <c r="F63" i="2"/>
  <c r="G63" i="2"/>
  <c r="H63" i="2"/>
  <c r="I63" i="2"/>
  <c r="J63" i="2"/>
  <c r="L63" i="2"/>
  <c r="E56" i="2"/>
  <c r="F56" i="2"/>
  <c r="G56" i="2"/>
  <c r="H56" i="2"/>
  <c r="I56" i="2"/>
  <c r="J56" i="2"/>
  <c r="L56" i="2"/>
  <c r="E57" i="2"/>
  <c r="F57" i="2"/>
  <c r="G57" i="2"/>
  <c r="H57" i="2"/>
  <c r="I57" i="2"/>
  <c r="J57" i="2"/>
  <c r="L57" i="2"/>
  <c r="E58" i="2"/>
  <c r="F58" i="2"/>
  <c r="G58" i="2"/>
  <c r="H58" i="2"/>
  <c r="I58" i="2"/>
  <c r="J58" i="2"/>
  <c r="L58" i="2"/>
  <c r="E69" i="2"/>
  <c r="F69" i="2"/>
  <c r="G69" i="2"/>
  <c r="H69" i="2"/>
  <c r="I69" i="2"/>
  <c r="J69" i="2"/>
  <c r="L69" i="2"/>
  <c r="E52" i="2"/>
  <c r="F52" i="2"/>
  <c r="G52" i="2"/>
  <c r="H52" i="2"/>
  <c r="I52" i="2"/>
  <c r="J52" i="2"/>
  <c r="L52" i="2"/>
  <c r="F62" i="2"/>
  <c r="G62" i="2"/>
  <c r="H62" i="2"/>
  <c r="I62" i="2"/>
  <c r="J62" i="2"/>
  <c r="L62" i="2"/>
  <c r="E62" i="2"/>
  <c r="K63" i="2" l="1"/>
  <c r="K55" i="2"/>
  <c r="K61" i="2"/>
  <c r="K69" i="2"/>
  <c r="K60" i="2"/>
  <c r="K58" i="2"/>
  <c r="K53" i="2"/>
  <c r="K54" i="2"/>
  <c r="K52" i="2"/>
  <c r="K59" i="2"/>
</calcChain>
</file>

<file path=xl/sharedStrings.xml><?xml version="1.0" encoding="utf-8"?>
<sst xmlns="http://schemas.openxmlformats.org/spreadsheetml/2006/main" count="237" uniqueCount="59">
  <si>
    <t>Club</t>
  </si>
  <si>
    <t>Puntos</t>
  </si>
  <si>
    <t>Deportivo Garcilaso</t>
  </si>
  <si>
    <t>Universitario</t>
  </si>
  <si>
    <t>Sport Boys</t>
  </si>
  <si>
    <t>Alianza Atlético</t>
  </si>
  <si>
    <t>Cusco</t>
  </si>
  <si>
    <t>Alianza Lima</t>
  </si>
  <si>
    <t>Melgar</t>
  </si>
  <si>
    <t>Colegio Juan Pablo II</t>
  </si>
  <si>
    <t>Sporting Cristal</t>
  </si>
  <si>
    <t>Atlético Grau</t>
  </si>
  <si>
    <t>Deporte Huancayo</t>
  </si>
  <si>
    <t>Comerciantes Unidos</t>
  </si>
  <si>
    <t>FC Cajamarca</t>
  </si>
  <si>
    <t>CD Moquegua</t>
  </si>
  <si>
    <t>Chankas CYC</t>
  </si>
  <si>
    <t>Cienciano</t>
  </si>
  <si>
    <t>UTC</t>
  </si>
  <si>
    <t>ADT</t>
  </si>
  <si>
    <t>Rango</t>
  </si>
  <si>
    <t>Empate</t>
  </si>
  <si>
    <t>Ganó</t>
  </si>
  <si>
    <t>Perdió</t>
  </si>
  <si>
    <t>Apertura</t>
  </si>
  <si>
    <t>Clausura</t>
  </si>
  <si>
    <t>Partidos jugados</t>
  </si>
  <si>
    <t>Victorias</t>
  </si>
  <si>
    <t>Empates</t>
  </si>
  <si>
    <t>Perdidos</t>
  </si>
  <si>
    <t>Goles a favor</t>
  </si>
  <si>
    <t>Goles en contra</t>
  </si>
  <si>
    <t>Diferencia de goles</t>
  </si>
  <si>
    <t>Últimos 5 partidos</t>
  </si>
  <si>
    <t>Juan Pablo II</t>
  </si>
  <si>
    <t>Acumulados</t>
  </si>
  <si>
    <t>Ciudad</t>
  </si>
  <si>
    <t>Tipo_Clima</t>
  </si>
  <si>
    <t>Factor_Local</t>
  </si>
  <si>
    <t>Racha</t>
  </si>
  <si>
    <t>Altura Extremada</t>
  </si>
  <si>
    <t>Lima</t>
  </si>
  <si>
    <t>Llano</t>
  </si>
  <si>
    <t>Callao</t>
  </si>
  <si>
    <t>Llano/Humedad</t>
  </si>
  <si>
    <t>Sullana</t>
  </si>
  <si>
    <t>Calor Extremo</t>
  </si>
  <si>
    <t>Arequipa</t>
  </si>
  <si>
    <t>Altura Media</t>
  </si>
  <si>
    <t>Chongoyape</t>
  </si>
  <si>
    <t>Calor</t>
  </si>
  <si>
    <t>Piura</t>
  </si>
  <si>
    <t>Huancayo</t>
  </si>
  <si>
    <t>Cutervo</t>
  </si>
  <si>
    <t>Cajamarca</t>
  </si>
  <si>
    <t>Moquegua</t>
  </si>
  <si>
    <t>Altura Media/Calor</t>
  </si>
  <si>
    <t>Andahuaylas</t>
  </si>
  <si>
    <t>Tarma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</si>
</sst>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 ;[Red]\-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4B00-B231-444C-B345-5596D78C3831}">
  <dimension ref="C4:Q69"/>
  <sheetViews>
    <sheetView tabSelected="1" topLeftCell="A25" workbookViewId="0">
      <selection activeCell="K52" sqref="K52:K69"/>
    </sheetView>
  </sheetViews>
  <sheetFormatPr baseColWidth="10" defaultRowHeight="14.4" x14ac:dyDescent="0.3"/>
  <cols>
    <col min="4" max="4" width="18.44140625" bestFit="1" customWidth="1"/>
    <col min="9" max="9" width="11.88671875" bestFit="1" customWidth="1"/>
    <col min="10" max="10" width="14" bestFit="1" customWidth="1"/>
    <col min="11" max="11" width="16.88671875" bestFit="1" customWidth="1"/>
  </cols>
  <sheetData>
    <row r="4" spans="3:12" x14ac:dyDescent="0.3">
      <c r="C4" t="s">
        <v>24</v>
      </c>
    </row>
    <row r="5" spans="3:12" x14ac:dyDescent="0.3">
      <c r="C5" s="2" t="s">
        <v>20</v>
      </c>
      <c r="D5" s="2" t="s">
        <v>0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1</v>
      </c>
    </row>
    <row r="6" spans="3:12" x14ac:dyDescent="0.3">
      <c r="C6">
        <v>1</v>
      </c>
      <c r="D6" t="s">
        <v>19</v>
      </c>
      <c r="E6">
        <v>24</v>
      </c>
      <c r="F6">
        <v>5</v>
      </c>
      <c r="G6">
        <v>7</v>
      </c>
      <c r="H6">
        <v>12</v>
      </c>
      <c r="I6">
        <v>27</v>
      </c>
      <c r="J6">
        <v>36</v>
      </c>
      <c r="K6" s="4">
        <f>I6-J6</f>
        <v>-9</v>
      </c>
      <c r="L6">
        <v>22</v>
      </c>
    </row>
    <row r="7" spans="3:12" x14ac:dyDescent="0.3">
      <c r="C7">
        <v>2</v>
      </c>
      <c r="D7" t="s">
        <v>5</v>
      </c>
      <c r="E7">
        <v>24</v>
      </c>
      <c r="F7">
        <v>9</v>
      </c>
      <c r="G7">
        <v>7</v>
      </c>
      <c r="H7">
        <v>8</v>
      </c>
      <c r="I7">
        <v>34</v>
      </c>
      <c r="J7">
        <v>29</v>
      </c>
      <c r="K7" s="4">
        <f>I7-J7</f>
        <v>5</v>
      </c>
      <c r="L7">
        <v>34</v>
      </c>
    </row>
    <row r="8" spans="3:12" x14ac:dyDescent="0.3">
      <c r="C8">
        <v>3</v>
      </c>
      <c r="D8" t="s">
        <v>7</v>
      </c>
      <c r="E8">
        <v>24</v>
      </c>
      <c r="F8">
        <v>15</v>
      </c>
      <c r="G8">
        <v>7</v>
      </c>
      <c r="H8">
        <v>2</v>
      </c>
      <c r="I8">
        <v>40</v>
      </c>
      <c r="J8">
        <v>15</v>
      </c>
      <c r="K8" s="4">
        <f>I8-J8</f>
        <v>25</v>
      </c>
      <c r="L8">
        <v>52</v>
      </c>
    </row>
    <row r="9" spans="3:12" x14ac:dyDescent="0.3">
      <c r="C9">
        <v>4</v>
      </c>
      <c r="D9" t="s">
        <v>11</v>
      </c>
      <c r="E9">
        <v>23</v>
      </c>
      <c r="F9">
        <v>7</v>
      </c>
      <c r="G9">
        <v>5</v>
      </c>
      <c r="H9">
        <v>11</v>
      </c>
      <c r="I9">
        <v>19</v>
      </c>
      <c r="J9">
        <v>23</v>
      </c>
      <c r="K9" s="4">
        <f>I9-J9</f>
        <v>-4</v>
      </c>
      <c r="L9">
        <v>26</v>
      </c>
    </row>
    <row r="10" spans="3:12" x14ac:dyDescent="0.3">
      <c r="C10">
        <v>5</v>
      </c>
      <c r="D10" t="s">
        <v>15</v>
      </c>
      <c r="E10">
        <v>24</v>
      </c>
      <c r="F10">
        <v>6</v>
      </c>
      <c r="G10">
        <v>7</v>
      </c>
      <c r="H10">
        <v>11</v>
      </c>
      <c r="I10">
        <v>23</v>
      </c>
      <c r="J10">
        <v>33</v>
      </c>
      <c r="K10" s="4">
        <f>I10-J10</f>
        <v>-10</v>
      </c>
      <c r="L10">
        <v>25</v>
      </c>
    </row>
    <row r="11" spans="3:12" x14ac:dyDescent="0.3">
      <c r="C11">
        <v>6</v>
      </c>
      <c r="D11" t="s">
        <v>16</v>
      </c>
      <c r="E11">
        <v>24</v>
      </c>
      <c r="F11">
        <v>12</v>
      </c>
      <c r="G11">
        <v>5</v>
      </c>
      <c r="H11">
        <v>7</v>
      </c>
      <c r="I11">
        <v>34</v>
      </c>
      <c r="J11">
        <v>37</v>
      </c>
      <c r="K11" s="4">
        <f>I11-J11</f>
        <v>-3</v>
      </c>
      <c r="L11">
        <v>41</v>
      </c>
    </row>
    <row r="12" spans="3:12" x14ac:dyDescent="0.3">
      <c r="C12">
        <v>7</v>
      </c>
      <c r="D12" t="s">
        <v>17</v>
      </c>
      <c r="E12">
        <v>24</v>
      </c>
      <c r="F12">
        <v>11</v>
      </c>
      <c r="G12">
        <v>4</v>
      </c>
      <c r="H12">
        <v>9</v>
      </c>
      <c r="I12">
        <v>39</v>
      </c>
      <c r="J12">
        <v>35</v>
      </c>
      <c r="K12" s="4">
        <f>I12-J12</f>
        <v>4</v>
      </c>
      <c r="L12">
        <v>37</v>
      </c>
    </row>
    <row r="13" spans="3:12" x14ac:dyDescent="0.3">
      <c r="C13">
        <v>8</v>
      </c>
      <c r="D13" t="s">
        <v>13</v>
      </c>
      <c r="E13">
        <v>24</v>
      </c>
      <c r="F13">
        <v>7</v>
      </c>
      <c r="G13">
        <v>8</v>
      </c>
      <c r="H13">
        <v>9</v>
      </c>
      <c r="I13">
        <v>32</v>
      </c>
      <c r="J13">
        <v>33</v>
      </c>
      <c r="K13" s="4">
        <f>I13-J13</f>
        <v>-1</v>
      </c>
      <c r="L13">
        <v>29</v>
      </c>
    </row>
    <row r="14" spans="3:12" x14ac:dyDescent="0.3">
      <c r="C14">
        <v>9</v>
      </c>
      <c r="D14" t="s">
        <v>6</v>
      </c>
      <c r="E14">
        <v>24</v>
      </c>
      <c r="F14">
        <v>12</v>
      </c>
      <c r="G14">
        <v>3</v>
      </c>
      <c r="H14">
        <v>9</v>
      </c>
      <c r="I14">
        <v>36</v>
      </c>
      <c r="J14">
        <v>36</v>
      </c>
      <c r="K14" s="4">
        <f>I14-J14</f>
        <v>0</v>
      </c>
      <c r="L14">
        <v>39</v>
      </c>
    </row>
    <row r="15" spans="3:12" x14ac:dyDescent="0.3">
      <c r="C15">
        <v>10</v>
      </c>
      <c r="D15" t="s">
        <v>12</v>
      </c>
      <c r="E15">
        <v>24</v>
      </c>
      <c r="F15">
        <v>7</v>
      </c>
      <c r="G15">
        <v>5</v>
      </c>
      <c r="H15">
        <v>12</v>
      </c>
      <c r="I15">
        <v>31</v>
      </c>
      <c r="J15">
        <v>41</v>
      </c>
      <c r="K15" s="4">
        <f>I15-J15</f>
        <v>-10</v>
      </c>
      <c r="L15">
        <v>26</v>
      </c>
    </row>
    <row r="16" spans="3:12" x14ac:dyDescent="0.3">
      <c r="C16">
        <v>11</v>
      </c>
      <c r="D16" t="s">
        <v>2</v>
      </c>
      <c r="E16">
        <v>24</v>
      </c>
      <c r="F16">
        <v>12</v>
      </c>
      <c r="G16">
        <v>6</v>
      </c>
      <c r="H16">
        <v>6</v>
      </c>
      <c r="I16">
        <v>31</v>
      </c>
      <c r="J16">
        <v>21</v>
      </c>
      <c r="K16" s="4">
        <f>I16-J16</f>
        <v>10</v>
      </c>
      <c r="L16">
        <v>42</v>
      </c>
    </row>
    <row r="17" spans="3:17" x14ac:dyDescent="0.3">
      <c r="C17">
        <v>12</v>
      </c>
      <c r="D17" t="s">
        <v>14</v>
      </c>
      <c r="E17">
        <v>24</v>
      </c>
      <c r="F17">
        <v>6</v>
      </c>
      <c r="G17">
        <v>6</v>
      </c>
      <c r="H17">
        <v>12</v>
      </c>
      <c r="I17">
        <v>36</v>
      </c>
      <c r="J17">
        <v>44</v>
      </c>
      <c r="K17" s="4">
        <f>I17-J17</f>
        <v>-8</v>
      </c>
      <c r="L17">
        <v>24</v>
      </c>
    </row>
    <row r="18" spans="3:17" x14ac:dyDescent="0.3">
      <c r="C18">
        <v>13</v>
      </c>
      <c r="D18" t="s">
        <v>34</v>
      </c>
      <c r="E18">
        <v>24</v>
      </c>
      <c r="F18">
        <v>7</v>
      </c>
      <c r="G18">
        <v>6</v>
      </c>
      <c r="H18">
        <v>11</v>
      </c>
      <c r="I18">
        <v>35</v>
      </c>
      <c r="J18">
        <v>50</v>
      </c>
      <c r="K18" s="4">
        <f>I18-J18</f>
        <v>-15</v>
      </c>
      <c r="L18">
        <v>27</v>
      </c>
    </row>
    <row r="19" spans="3:17" x14ac:dyDescent="0.3">
      <c r="C19">
        <v>14</v>
      </c>
      <c r="D19" t="s">
        <v>8</v>
      </c>
      <c r="E19">
        <v>23</v>
      </c>
      <c r="F19">
        <v>11</v>
      </c>
      <c r="G19">
        <v>6</v>
      </c>
      <c r="H19">
        <v>6</v>
      </c>
      <c r="I19">
        <v>40</v>
      </c>
      <c r="J19">
        <v>27</v>
      </c>
      <c r="K19" s="4">
        <f>I19-J19</f>
        <v>13</v>
      </c>
      <c r="L19">
        <v>39</v>
      </c>
    </row>
    <row r="20" spans="3:17" x14ac:dyDescent="0.3">
      <c r="C20">
        <v>15</v>
      </c>
      <c r="D20" t="s">
        <v>4</v>
      </c>
      <c r="E20">
        <v>24</v>
      </c>
      <c r="F20">
        <v>9</v>
      </c>
      <c r="G20">
        <v>7</v>
      </c>
      <c r="H20">
        <v>8</v>
      </c>
      <c r="I20">
        <v>26</v>
      </c>
      <c r="J20">
        <v>23</v>
      </c>
      <c r="K20" s="4">
        <f>I20-J20</f>
        <v>3</v>
      </c>
      <c r="L20">
        <v>34</v>
      </c>
    </row>
    <row r="21" spans="3:17" x14ac:dyDescent="0.3">
      <c r="C21">
        <v>16</v>
      </c>
      <c r="D21" t="s">
        <v>10</v>
      </c>
      <c r="E21">
        <v>24</v>
      </c>
      <c r="F21">
        <v>8</v>
      </c>
      <c r="G21">
        <v>5</v>
      </c>
      <c r="H21">
        <v>11</v>
      </c>
      <c r="I21">
        <v>38</v>
      </c>
      <c r="J21">
        <v>38</v>
      </c>
      <c r="K21" s="4">
        <f>I21-J21</f>
        <v>0</v>
      </c>
      <c r="L21">
        <v>29</v>
      </c>
    </row>
    <row r="22" spans="3:17" x14ac:dyDescent="0.3">
      <c r="C22">
        <v>17</v>
      </c>
      <c r="D22" t="s">
        <v>3</v>
      </c>
      <c r="E22">
        <v>24</v>
      </c>
      <c r="F22">
        <v>13</v>
      </c>
      <c r="G22">
        <v>6</v>
      </c>
      <c r="H22">
        <v>5</v>
      </c>
      <c r="I22">
        <v>39</v>
      </c>
      <c r="J22">
        <v>24</v>
      </c>
      <c r="K22" s="4">
        <f>I22-J22</f>
        <v>15</v>
      </c>
      <c r="L22">
        <v>45</v>
      </c>
    </row>
    <row r="23" spans="3:17" x14ac:dyDescent="0.3">
      <c r="C23">
        <v>18</v>
      </c>
      <c r="D23" t="s">
        <v>18</v>
      </c>
      <c r="E23">
        <v>24</v>
      </c>
      <c r="F23">
        <v>4</v>
      </c>
      <c r="G23">
        <v>8</v>
      </c>
      <c r="H23">
        <v>12</v>
      </c>
      <c r="I23">
        <v>27</v>
      </c>
      <c r="J23">
        <v>42</v>
      </c>
      <c r="K23" s="4">
        <f>I23-J23</f>
        <v>-15</v>
      </c>
      <c r="L23">
        <v>15</v>
      </c>
    </row>
    <row r="27" spans="3:17" x14ac:dyDescent="0.3">
      <c r="C27" t="s">
        <v>25</v>
      </c>
    </row>
    <row r="28" spans="3:17" x14ac:dyDescent="0.3">
      <c r="C28" s="2" t="s">
        <v>20</v>
      </c>
      <c r="D28" s="2" t="s">
        <v>0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1</v>
      </c>
      <c r="M28" t="s">
        <v>33</v>
      </c>
    </row>
    <row r="29" spans="3:17" x14ac:dyDescent="0.3">
      <c r="C29">
        <v>1</v>
      </c>
      <c r="D29" t="s">
        <v>19</v>
      </c>
      <c r="E29">
        <v>7</v>
      </c>
      <c r="F29">
        <v>0</v>
      </c>
      <c r="G29">
        <v>2</v>
      </c>
      <c r="H29">
        <v>5</v>
      </c>
      <c r="I29">
        <v>5</v>
      </c>
      <c r="J29">
        <v>15</v>
      </c>
      <c r="K29" s="4">
        <f>I29-J29</f>
        <v>-10</v>
      </c>
      <c r="L29">
        <v>2</v>
      </c>
      <c r="M29" t="s">
        <v>22</v>
      </c>
      <c r="N29" t="s">
        <v>22</v>
      </c>
      <c r="O29" t="s">
        <v>21</v>
      </c>
      <c r="P29" t="s">
        <v>22</v>
      </c>
      <c r="Q29" t="s">
        <v>22</v>
      </c>
    </row>
    <row r="30" spans="3:17" x14ac:dyDescent="0.3">
      <c r="C30">
        <v>2</v>
      </c>
      <c r="D30" t="s">
        <v>5</v>
      </c>
      <c r="E30">
        <v>7</v>
      </c>
      <c r="F30">
        <v>4</v>
      </c>
      <c r="G30">
        <v>1</v>
      </c>
      <c r="H30">
        <v>2</v>
      </c>
      <c r="I30">
        <v>14</v>
      </c>
      <c r="J30">
        <v>11</v>
      </c>
      <c r="K30" s="4">
        <f>I30-J30</f>
        <v>3</v>
      </c>
      <c r="L30">
        <v>13</v>
      </c>
      <c r="M30" t="s">
        <v>23</v>
      </c>
      <c r="N30" t="s">
        <v>21</v>
      </c>
      <c r="O30" t="s">
        <v>22</v>
      </c>
      <c r="P30" t="s">
        <v>22</v>
      </c>
      <c r="Q30" t="s">
        <v>22</v>
      </c>
    </row>
    <row r="31" spans="3:17" x14ac:dyDescent="0.3">
      <c r="C31">
        <v>3</v>
      </c>
      <c r="D31" t="s">
        <v>7</v>
      </c>
      <c r="E31">
        <v>7</v>
      </c>
      <c r="F31">
        <v>3</v>
      </c>
      <c r="G31">
        <v>3</v>
      </c>
      <c r="H31">
        <v>1</v>
      </c>
      <c r="I31">
        <v>10</v>
      </c>
      <c r="J31">
        <v>7</v>
      </c>
      <c r="K31" s="4">
        <f>I31-J31</f>
        <v>3</v>
      </c>
      <c r="L31">
        <v>12</v>
      </c>
      <c r="M31" t="s">
        <v>22</v>
      </c>
      <c r="N31" t="s">
        <v>21</v>
      </c>
      <c r="O31" t="s">
        <v>21</v>
      </c>
      <c r="P31" t="s">
        <v>22</v>
      </c>
      <c r="Q31" t="s">
        <v>22</v>
      </c>
    </row>
    <row r="32" spans="3:17" x14ac:dyDescent="0.3">
      <c r="C32">
        <v>4</v>
      </c>
      <c r="D32" t="s">
        <v>11</v>
      </c>
      <c r="E32">
        <v>6</v>
      </c>
      <c r="F32">
        <v>3</v>
      </c>
      <c r="G32">
        <v>1</v>
      </c>
      <c r="H32">
        <v>2</v>
      </c>
      <c r="I32">
        <v>7</v>
      </c>
      <c r="J32">
        <v>5</v>
      </c>
      <c r="K32" s="4">
        <f>I32-J32</f>
        <v>2</v>
      </c>
      <c r="L32">
        <v>10</v>
      </c>
      <c r="M32" t="s">
        <v>23</v>
      </c>
      <c r="N32" t="s">
        <v>22</v>
      </c>
      <c r="O32" t="s">
        <v>21</v>
      </c>
      <c r="P32" t="s">
        <v>22</v>
      </c>
      <c r="Q32" t="s">
        <v>22</v>
      </c>
    </row>
    <row r="33" spans="3:17" x14ac:dyDescent="0.3">
      <c r="C33">
        <v>5</v>
      </c>
      <c r="D33" t="s">
        <v>15</v>
      </c>
      <c r="E33">
        <v>7</v>
      </c>
      <c r="F33">
        <v>1</v>
      </c>
      <c r="G33">
        <v>4</v>
      </c>
      <c r="H33">
        <v>2</v>
      </c>
      <c r="I33">
        <v>6</v>
      </c>
      <c r="J33">
        <v>9</v>
      </c>
      <c r="K33" s="4">
        <f>I33-J33</f>
        <v>-3</v>
      </c>
      <c r="L33">
        <v>7</v>
      </c>
      <c r="M33" t="s">
        <v>22</v>
      </c>
      <c r="N33" t="s">
        <v>23</v>
      </c>
      <c r="O33" t="s">
        <v>22</v>
      </c>
      <c r="P33" t="s">
        <v>23</v>
      </c>
      <c r="Q33" t="s">
        <v>22</v>
      </c>
    </row>
    <row r="34" spans="3:17" x14ac:dyDescent="0.3">
      <c r="C34">
        <v>6</v>
      </c>
      <c r="D34" t="s">
        <v>16</v>
      </c>
      <c r="E34">
        <v>7</v>
      </c>
      <c r="F34">
        <v>2</v>
      </c>
      <c r="G34">
        <v>1</v>
      </c>
      <c r="H34">
        <v>4</v>
      </c>
      <c r="I34">
        <v>9</v>
      </c>
      <c r="J34">
        <v>16</v>
      </c>
      <c r="K34" s="4">
        <f>I34-J34</f>
        <v>-7</v>
      </c>
      <c r="L34">
        <v>7</v>
      </c>
      <c r="M34" t="s">
        <v>22</v>
      </c>
      <c r="N34" t="s">
        <v>21</v>
      </c>
      <c r="O34" t="s">
        <v>22</v>
      </c>
      <c r="P34" t="s">
        <v>21</v>
      </c>
      <c r="Q34" t="s">
        <v>23</v>
      </c>
    </row>
    <row r="35" spans="3:17" x14ac:dyDescent="0.3">
      <c r="C35">
        <v>7</v>
      </c>
      <c r="D35" t="s">
        <v>17</v>
      </c>
      <c r="E35">
        <v>7</v>
      </c>
      <c r="F35">
        <v>1</v>
      </c>
      <c r="G35">
        <v>1</v>
      </c>
      <c r="H35">
        <v>5</v>
      </c>
      <c r="I35">
        <v>5</v>
      </c>
      <c r="J35">
        <v>13</v>
      </c>
      <c r="K35" s="4">
        <f>I35-J35</f>
        <v>-8</v>
      </c>
      <c r="L35">
        <v>4</v>
      </c>
      <c r="M35" t="s">
        <v>22</v>
      </c>
      <c r="N35" t="s">
        <v>21</v>
      </c>
      <c r="O35" t="s">
        <v>23</v>
      </c>
      <c r="P35" t="s">
        <v>22</v>
      </c>
      <c r="Q35" t="s">
        <v>21</v>
      </c>
    </row>
    <row r="36" spans="3:17" x14ac:dyDescent="0.3">
      <c r="C36">
        <v>8</v>
      </c>
      <c r="D36" t="s">
        <v>13</v>
      </c>
      <c r="E36">
        <v>7</v>
      </c>
      <c r="F36">
        <v>2</v>
      </c>
      <c r="G36">
        <v>2</v>
      </c>
      <c r="H36">
        <v>3</v>
      </c>
      <c r="I36">
        <v>14</v>
      </c>
      <c r="J36">
        <v>13</v>
      </c>
      <c r="K36" s="4">
        <f>I36-J36</f>
        <v>1</v>
      </c>
      <c r="L36">
        <v>8</v>
      </c>
      <c r="M36" t="s">
        <v>23</v>
      </c>
      <c r="N36" t="s">
        <v>21</v>
      </c>
      <c r="O36" t="s">
        <v>23</v>
      </c>
      <c r="P36" t="s">
        <v>22</v>
      </c>
      <c r="Q36" t="s">
        <v>22</v>
      </c>
    </row>
    <row r="37" spans="3:17" x14ac:dyDescent="0.3">
      <c r="C37">
        <v>9</v>
      </c>
      <c r="D37" t="s">
        <v>6</v>
      </c>
      <c r="E37">
        <v>7</v>
      </c>
      <c r="F37">
        <v>4</v>
      </c>
      <c r="G37">
        <v>0</v>
      </c>
      <c r="H37">
        <v>3</v>
      </c>
      <c r="I37">
        <v>15</v>
      </c>
      <c r="J37">
        <v>12</v>
      </c>
      <c r="K37" s="4">
        <f>I37-J37</f>
        <v>3</v>
      </c>
      <c r="L37">
        <v>12</v>
      </c>
      <c r="M37" t="s">
        <v>22</v>
      </c>
      <c r="N37" t="s">
        <v>21</v>
      </c>
      <c r="O37" t="s">
        <v>22</v>
      </c>
      <c r="P37" t="s">
        <v>23</v>
      </c>
      <c r="Q37" t="s">
        <v>23</v>
      </c>
    </row>
    <row r="38" spans="3:17" x14ac:dyDescent="0.3">
      <c r="C38">
        <v>10</v>
      </c>
      <c r="D38" t="s">
        <v>12</v>
      </c>
      <c r="E38">
        <v>7</v>
      </c>
      <c r="F38">
        <v>3</v>
      </c>
      <c r="G38">
        <v>1</v>
      </c>
      <c r="H38">
        <v>3</v>
      </c>
      <c r="I38">
        <v>10</v>
      </c>
      <c r="J38">
        <v>10</v>
      </c>
      <c r="K38" s="4">
        <f>I38-J38</f>
        <v>0</v>
      </c>
      <c r="L38">
        <v>10</v>
      </c>
      <c r="M38" t="s">
        <v>23</v>
      </c>
      <c r="N38" t="s">
        <v>23</v>
      </c>
      <c r="O38" t="s">
        <v>21</v>
      </c>
      <c r="P38" t="s">
        <v>22</v>
      </c>
      <c r="Q38" t="s">
        <v>22</v>
      </c>
    </row>
    <row r="39" spans="3:17" x14ac:dyDescent="0.3">
      <c r="C39">
        <v>11</v>
      </c>
      <c r="D39" t="s">
        <v>2</v>
      </c>
      <c r="E39">
        <v>7</v>
      </c>
      <c r="F39">
        <v>5</v>
      </c>
      <c r="G39">
        <v>1</v>
      </c>
      <c r="H39">
        <v>1</v>
      </c>
      <c r="I39">
        <v>10</v>
      </c>
      <c r="J39">
        <v>3</v>
      </c>
      <c r="K39" s="4">
        <f>I39-J39</f>
        <v>7</v>
      </c>
      <c r="L39">
        <v>16</v>
      </c>
      <c r="M39" t="s">
        <v>22</v>
      </c>
      <c r="N39" t="s">
        <v>21</v>
      </c>
      <c r="O39" t="s">
        <v>23</v>
      </c>
      <c r="P39" t="s">
        <v>23</v>
      </c>
      <c r="Q39" t="s">
        <v>22</v>
      </c>
    </row>
    <row r="40" spans="3:17" x14ac:dyDescent="0.3">
      <c r="C40">
        <v>12</v>
      </c>
      <c r="D40" t="s">
        <v>14</v>
      </c>
      <c r="E40">
        <v>7</v>
      </c>
      <c r="F40">
        <v>2</v>
      </c>
      <c r="G40">
        <v>1</v>
      </c>
      <c r="H40">
        <v>4</v>
      </c>
      <c r="I40">
        <v>13</v>
      </c>
      <c r="J40">
        <v>16</v>
      </c>
      <c r="K40" s="4">
        <f>I40-J40</f>
        <v>-3</v>
      </c>
      <c r="L40">
        <v>7</v>
      </c>
      <c r="M40" t="s">
        <v>23</v>
      </c>
      <c r="N40" t="s">
        <v>22</v>
      </c>
      <c r="O40" t="s">
        <v>23</v>
      </c>
      <c r="P40" t="s">
        <v>22</v>
      </c>
      <c r="Q40" t="s">
        <v>23</v>
      </c>
    </row>
    <row r="41" spans="3:17" x14ac:dyDescent="0.3">
      <c r="C41">
        <v>13</v>
      </c>
      <c r="D41" t="s">
        <v>34</v>
      </c>
      <c r="E41">
        <v>7</v>
      </c>
      <c r="F41">
        <v>3</v>
      </c>
      <c r="G41">
        <v>2</v>
      </c>
      <c r="H41">
        <v>2</v>
      </c>
      <c r="I41">
        <v>13</v>
      </c>
      <c r="J41">
        <v>10</v>
      </c>
      <c r="K41" s="4">
        <f>I41-J41</f>
        <v>3</v>
      </c>
      <c r="L41">
        <v>11</v>
      </c>
      <c r="M41" t="s">
        <v>23</v>
      </c>
      <c r="N41" t="s">
        <v>22</v>
      </c>
      <c r="O41" t="s">
        <v>23</v>
      </c>
      <c r="P41" t="s">
        <v>23</v>
      </c>
      <c r="Q41" t="s">
        <v>22</v>
      </c>
    </row>
    <row r="42" spans="3:17" x14ac:dyDescent="0.3">
      <c r="C42">
        <v>14</v>
      </c>
      <c r="D42" t="s">
        <v>8</v>
      </c>
      <c r="E42">
        <v>6</v>
      </c>
      <c r="F42">
        <v>3</v>
      </c>
      <c r="G42">
        <v>2</v>
      </c>
      <c r="H42">
        <v>1</v>
      </c>
      <c r="I42">
        <v>11</v>
      </c>
      <c r="J42">
        <v>7</v>
      </c>
      <c r="K42" s="4">
        <f>I42-J42</f>
        <v>4</v>
      </c>
      <c r="L42">
        <v>11</v>
      </c>
      <c r="M42" t="s">
        <v>21</v>
      </c>
      <c r="N42" t="s">
        <v>23</v>
      </c>
      <c r="O42" t="s">
        <v>21</v>
      </c>
      <c r="P42" t="s">
        <v>22</v>
      </c>
      <c r="Q42" t="s">
        <v>23</v>
      </c>
    </row>
    <row r="43" spans="3:17" x14ac:dyDescent="0.3">
      <c r="C43">
        <v>15</v>
      </c>
      <c r="D43" t="s">
        <v>4</v>
      </c>
      <c r="E43">
        <v>7</v>
      </c>
      <c r="F43">
        <v>4</v>
      </c>
      <c r="G43">
        <v>2</v>
      </c>
      <c r="H43">
        <v>1</v>
      </c>
      <c r="I43">
        <v>11</v>
      </c>
      <c r="J43">
        <v>4</v>
      </c>
      <c r="K43" s="4">
        <f>I43-J43</f>
        <v>7</v>
      </c>
      <c r="L43">
        <v>14</v>
      </c>
      <c r="M43" t="s">
        <v>22</v>
      </c>
      <c r="N43" t="s">
        <v>21</v>
      </c>
      <c r="O43" t="s">
        <v>23</v>
      </c>
      <c r="P43" t="s">
        <v>23</v>
      </c>
      <c r="Q43" t="s">
        <v>23</v>
      </c>
    </row>
    <row r="44" spans="3:17" x14ac:dyDescent="0.3">
      <c r="C44">
        <v>16</v>
      </c>
      <c r="D44" t="s">
        <v>10</v>
      </c>
      <c r="E44">
        <v>7</v>
      </c>
      <c r="F44">
        <v>3</v>
      </c>
      <c r="G44">
        <v>1</v>
      </c>
      <c r="H44">
        <v>3</v>
      </c>
      <c r="I44">
        <v>10</v>
      </c>
      <c r="J44">
        <v>8</v>
      </c>
      <c r="K44" s="4">
        <f>I44-J44</f>
        <v>2</v>
      </c>
      <c r="L44">
        <v>10</v>
      </c>
      <c r="M44" t="s">
        <v>22</v>
      </c>
      <c r="N44" t="s">
        <v>23</v>
      </c>
      <c r="O44" t="s">
        <v>21</v>
      </c>
      <c r="P44" t="s">
        <v>23</v>
      </c>
      <c r="Q44" t="s">
        <v>23</v>
      </c>
    </row>
    <row r="45" spans="3:17" x14ac:dyDescent="0.3">
      <c r="C45">
        <v>17</v>
      </c>
      <c r="D45" t="s">
        <v>3</v>
      </c>
      <c r="E45">
        <v>7</v>
      </c>
      <c r="F45">
        <v>5</v>
      </c>
      <c r="G45">
        <v>1</v>
      </c>
      <c r="H45">
        <v>1</v>
      </c>
      <c r="I45">
        <v>15</v>
      </c>
      <c r="J45">
        <v>9</v>
      </c>
      <c r="K45" s="4">
        <f>I45-J45</f>
        <v>6</v>
      </c>
      <c r="L45">
        <v>16</v>
      </c>
      <c r="M45" t="s">
        <v>23</v>
      </c>
      <c r="N45" t="s">
        <v>21</v>
      </c>
      <c r="O45" t="s">
        <v>23</v>
      </c>
      <c r="P45" t="s">
        <v>23</v>
      </c>
      <c r="Q45" t="s">
        <v>23</v>
      </c>
    </row>
    <row r="46" spans="3:17" x14ac:dyDescent="0.3">
      <c r="C46">
        <v>18</v>
      </c>
      <c r="D46" t="s">
        <v>18</v>
      </c>
      <c r="E46">
        <v>7</v>
      </c>
      <c r="F46">
        <v>0</v>
      </c>
      <c r="G46">
        <v>2</v>
      </c>
      <c r="H46">
        <v>5</v>
      </c>
      <c r="I46">
        <v>6</v>
      </c>
      <c r="J46">
        <v>16</v>
      </c>
      <c r="K46" s="4">
        <f>I46-J46</f>
        <v>-10</v>
      </c>
      <c r="L46">
        <v>2</v>
      </c>
      <c r="M46" t="s">
        <v>23</v>
      </c>
      <c r="N46" t="s">
        <v>21</v>
      </c>
      <c r="O46" t="s">
        <v>21</v>
      </c>
      <c r="P46" t="s">
        <v>23</v>
      </c>
      <c r="Q46" t="s">
        <v>23</v>
      </c>
    </row>
    <row r="50" spans="3:12" x14ac:dyDescent="0.3">
      <c r="C50" t="s">
        <v>35</v>
      </c>
    </row>
    <row r="51" spans="3:12" x14ac:dyDescent="0.3">
      <c r="C51" s="2" t="s">
        <v>20</v>
      </c>
      <c r="D51" s="2" t="s">
        <v>0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32</v>
      </c>
      <c r="L51" s="2" t="s">
        <v>1</v>
      </c>
    </row>
    <row r="52" spans="3:12" x14ac:dyDescent="0.3">
      <c r="C52" s="1">
        <v>1</v>
      </c>
      <c r="D52" t="s">
        <v>19</v>
      </c>
      <c r="E52">
        <f>E6+E29</f>
        <v>31</v>
      </c>
      <c r="F52">
        <f>F6+F29</f>
        <v>5</v>
      </c>
      <c r="G52">
        <f>G6+G29</f>
        <v>9</v>
      </c>
      <c r="H52">
        <f>H6+H29</f>
        <v>17</v>
      </c>
      <c r="I52">
        <f>I6+I29</f>
        <v>32</v>
      </c>
      <c r="J52">
        <f>J6+J29</f>
        <v>51</v>
      </c>
      <c r="K52" s="4">
        <f>K6+K29</f>
        <v>-19</v>
      </c>
      <c r="L52">
        <f>L6+L29</f>
        <v>24</v>
      </c>
    </row>
    <row r="53" spans="3:12" x14ac:dyDescent="0.3">
      <c r="C53" s="1">
        <v>2</v>
      </c>
      <c r="D53" t="s">
        <v>5</v>
      </c>
      <c r="E53">
        <f>E7+E30</f>
        <v>31</v>
      </c>
      <c r="F53">
        <f>F7+F30</f>
        <v>13</v>
      </c>
      <c r="G53">
        <f>G7+G30</f>
        <v>8</v>
      </c>
      <c r="H53">
        <f>H7+H30</f>
        <v>10</v>
      </c>
      <c r="I53">
        <f>I7+I30</f>
        <v>48</v>
      </c>
      <c r="J53">
        <f>J7+J30</f>
        <v>40</v>
      </c>
      <c r="K53" s="4">
        <f>K7+K30</f>
        <v>8</v>
      </c>
      <c r="L53">
        <f>L7+L30</f>
        <v>47</v>
      </c>
    </row>
    <row r="54" spans="3:12" x14ac:dyDescent="0.3">
      <c r="C54" s="1">
        <v>3</v>
      </c>
      <c r="D54" t="s">
        <v>7</v>
      </c>
      <c r="E54">
        <f>E8+E31</f>
        <v>31</v>
      </c>
      <c r="F54">
        <f>F8+F31</f>
        <v>18</v>
      </c>
      <c r="G54">
        <f>G8+G31</f>
        <v>10</v>
      </c>
      <c r="H54">
        <f>H8+H31</f>
        <v>3</v>
      </c>
      <c r="I54">
        <f>I8+I31</f>
        <v>50</v>
      </c>
      <c r="J54">
        <f>J8+J31</f>
        <v>22</v>
      </c>
      <c r="K54" s="4">
        <f>K8+K31</f>
        <v>28</v>
      </c>
      <c r="L54">
        <f>L8+L31</f>
        <v>64</v>
      </c>
    </row>
    <row r="55" spans="3:12" x14ac:dyDescent="0.3">
      <c r="C55" s="1">
        <v>4</v>
      </c>
      <c r="D55" t="s">
        <v>11</v>
      </c>
      <c r="E55">
        <f>E9+E32</f>
        <v>29</v>
      </c>
      <c r="F55">
        <f>F9+F32</f>
        <v>10</v>
      </c>
      <c r="G55">
        <f>G9+G32</f>
        <v>6</v>
      </c>
      <c r="H55">
        <f>H9+H32</f>
        <v>13</v>
      </c>
      <c r="I55">
        <f>I9+I32</f>
        <v>26</v>
      </c>
      <c r="J55">
        <f>J9+J32</f>
        <v>28</v>
      </c>
      <c r="K55" s="4">
        <f>K9+K32</f>
        <v>-2</v>
      </c>
      <c r="L55">
        <f>L9+L32</f>
        <v>36</v>
      </c>
    </row>
    <row r="56" spans="3:12" x14ac:dyDescent="0.3">
      <c r="C56" s="1">
        <v>5</v>
      </c>
      <c r="D56" t="s">
        <v>15</v>
      </c>
      <c r="E56">
        <f>E10+E33</f>
        <v>31</v>
      </c>
      <c r="F56">
        <f>F10+F33</f>
        <v>7</v>
      </c>
      <c r="G56">
        <f>G10+G33</f>
        <v>11</v>
      </c>
      <c r="H56">
        <f>H10+H33</f>
        <v>13</v>
      </c>
      <c r="I56">
        <f>I10+I33</f>
        <v>29</v>
      </c>
      <c r="J56">
        <f>J10+J33</f>
        <v>42</v>
      </c>
      <c r="K56" s="4">
        <f>K10+K33</f>
        <v>-13</v>
      </c>
      <c r="L56">
        <f>L10+L33</f>
        <v>32</v>
      </c>
    </row>
    <row r="57" spans="3:12" x14ac:dyDescent="0.3">
      <c r="C57" s="1">
        <v>6</v>
      </c>
      <c r="D57" t="s">
        <v>16</v>
      </c>
      <c r="E57">
        <f>E11+E34</f>
        <v>31</v>
      </c>
      <c r="F57">
        <f>F11+F34</f>
        <v>14</v>
      </c>
      <c r="G57">
        <f>G11+G34</f>
        <v>6</v>
      </c>
      <c r="H57">
        <f>H11+H34</f>
        <v>11</v>
      </c>
      <c r="I57">
        <f>I11+I34</f>
        <v>43</v>
      </c>
      <c r="J57">
        <f>J11+J34</f>
        <v>53</v>
      </c>
      <c r="K57" s="4">
        <f>K11+K34</f>
        <v>-10</v>
      </c>
      <c r="L57">
        <f>L11+L34</f>
        <v>48</v>
      </c>
    </row>
    <row r="58" spans="3:12" x14ac:dyDescent="0.3">
      <c r="C58" s="1">
        <v>7</v>
      </c>
      <c r="D58" t="s">
        <v>17</v>
      </c>
      <c r="E58">
        <f>E12+E35</f>
        <v>31</v>
      </c>
      <c r="F58">
        <f>F12+F35</f>
        <v>12</v>
      </c>
      <c r="G58">
        <f>G12+G35</f>
        <v>5</v>
      </c>
      <c r="H58">
        <f>H12+H35</f>
        <v>14</v>
      </c>
      <c r="I58">
        <f>I12+I35</f>
        <v>44</v>
      </c>
      <c r="J58">
        <f>J12+J35</f>
        <v>48</v>
      </c>
      <c r="K58" s="4">
        <f>K12+K35</f>
        <v>-4</v>
      </c>
      <c r="L58">
        <f>L12+L35</f>
        <v>41</v>
      </c>
    </row>
    <row r="59" spans="3:12" x14ac:dyDescent="0.3">
      <c r="C59" s="1">
        <v>8</v>
      </c>
      <c r="D59" t="s">
        <v>13</v>
      </c>
      <c r="E59">
        <f>E13+E36</f>
        <v>31</v>
      </c>
      <c r="F59">
        <f>F13+F36</f>
        <v>9</v>
      </c>
      <c r="G59">
        <f>G13+G36</f>
        <v>10</v>
      </c>
      <c r="H59">
        <f>H13+H36</f>
        <v>12</v>
      </c>
      <c r="I59">
        <f>I13+I36</f>
        <v>46</v>
      </c>
      <c r="J59">
        <f>J13+J36</f>
        <v>46</v>
      </c>
      <c r="K59" s="4">
        <f>K13+K36</f>
        <v>0</v>
      </c>
      <c r="L59">
        <f>L13+L36</f>
        <v>37</v>
      </c>
    </row>
    <row r="60" spans="3:12" x14ac:dyDescent="0.3">
      <c r="C60" s="1">
        <v>9</v>
      </c>
      <c r="D60" t="s">
        <v>6</v>
      </c>
      <c r="E60">
        <f>E14+E37</f>
        <v>31</v>
      </c>
      <c r="F60">
        <f>F14+F37</f>
        <v>16</v>
      </c>
      <c r="G60">
        <f>G14+G37</f>
        <v>3</v>
      </c>
      <c r="H60">
        <f>H14+H37</f>
        <v>12</v>
      </c>
      <c r="I60">
        <f>I14+I37</f>
        <v>51</v>
      </c>
      <c r="J60">
        <f>J14+J37</f>
        <v>48</v>
      </c>
      <c r="K60" s="4">
        <f>K14+K37</f>
        <v>3</v>
      </c>
      <c r="L60">
        <f>L14+L37</f>
        <v>51</v>
      </c>
    </row>
    <row r="61" spans="3:12" x14ac:dyDescent="0.3">
      <c r="C61" s="1">
        <v>10</v>
      </c>
      <c r="D61" t="s">
        <v>12</v>
      </c>
      <c r="E61">
        <f>E15+E38</f>
        <v>31</v>
      </c>
      <c r="F61">
        <f>F15+F38</f>
        <v>10</v>
      </c>
      <c r="G61">
        <f>G15+G38</f>
        <v>6</v>
      </c>
      <c r="H61">
        <f>H15+H38</f>
        <v>15</v>
      </c>
      <c r="I61">
        <f>I15+I38</f>
        <v>41</v>
      </c>
      <c r="J61">
        <f>J15+J38</f>
        <v>51</v>
      </c>
      <c r="K61" s="4">
        <f>K15+K38</f>
        <v>-10</v>
      </c>
      <c r="L61">
        <f>L15+L38</f>
        <v>36</v>
      </c>
    </row>
    <row r="62" spans="3:12" x14ac:dyDescent="0.3">
      <c r="C62" s="1">
        <v>11</v>
      </c>
      <c r="D62" t="s">
        <v>2</v>
      </c>
      <c r="E62">
        <f>E16+E39</f>
        <v>31</v>
      </c>
      <c r="F62">
        <f>F16+F39</f>
        <v>17</v>
      </c>
      <c r="G62">
        <f>G16+G39</f>
        <v>7</v>
      </c>
      <c r="H62">
        <f>H16+H39</f>
        <v>7</v>
      </c>
      <c r="I62">
        <f>I16+I39</f>
        <v>41</v>
      </c>
      <c r="J62">
        <f>J16+J39</f>
        <v>24</v>
      </c>
      <c r="K62" s="4">
        <f>K16+K39</f>
        <v>17</v>
      </c>
      <c r="L62">
        <f>L16+L39</f>
        <v>58</v>
      </c>
    </row>
    <row r="63" spans="3:12" x14ac:dyDescent="0.3">
      <c r="C63" s="1">
        <v>12</v>
      </c>
      <c r="D63" t="s">
        <v>14</v>
      </c>
      <c r="E63">
        <f>E17+E40</f>
        <v>31</v>
      </c>
      <c r="F63">
        <f>F17+F40</f>
        <v>8</v>
      </c>
      <c r="G63">
        <f>G17+G40</f>
        <v>7</v>
      </c>
      <c r="H63">
        <f>H17+H40</f>
        <v>16</v>
      </c>
      <c r="I63">
        <f>I17+I40</f>
        <v>49</v>
      </c>
      <c r="J63">
        <f>J17+J40</f>
        <v>60</v>
      </c>
      <c r="K63" s="4">
        <f>K17+K40</f>
        <v>-11</v>
      </c>
      <c r="L63">
        <f>L17+L40</f>
        <v>31</v>
      </c>
    </row>
    <row r="64" spans="3:12" x14ac:dyDescent="0.3">
      <c r="C64" s="1">
        <v>13</v>
      </c>
      <c r="D64" t="s">
        <v>34</v>
      </c>
      <c r="E64">
        <f>E18+E41</f>
        <v>31</v>
      </c>
      <c r="F64">
        <f>F18+F41</f>
        <v>10</v>
      </c>
      <c r="G64">
        <f>G18+G41</f>
        <v>8</v>
      </c>
      <c r="H64">
        <f>H18+H41</f>
        <v>13</v>
      </c>
      <c r="I64">
        <f>I18+I41</f>
        <v>48</v>
      </c>
      <c r="J64">
        <f>J18+J41</f>
        <v>60</v>
      </c>
      <c r="K64" s="4">
        <f>K18+K41</f>
        <v>-12</v>
      </c>
      <c r="L64">
        <f>L18+L41</f>
        <v>38</v>
      </c>
    </row>
    <row r="65" spans="3:12" x14ac:dyDescent="0.3">
      <c r="C65" s="1">
        <v>14</v>
      </c>
      <c r="D65" t="s">
        <v>8</v>
      </c>
      <c r="E65">
        <f>E19+E42</f>
        <v>29</v>
      </c>
      <c r="F65">
        <f>F19+F42</f>
        <v>14</v>
      </c>
      <c r="G65">
        <f>G19+G42</f>
        <v>8</v>
      </c>
      <c r="H65">
        <f>H19+H42</f>
        <v>7</v>
      </c>
      <c r="I65">
        <f>I19+I42</f>
        <v>51</v>
      </c>
      <c r="J65">
        <f>J19+J42</f>
        <v>34</v>
      </c>
      <c r="K65" s="4">
        <f>K19+K42</f>
        <v>17</v>
      </c>
      <c r="L65">
        <f>L19+L42</f>
        <v>50</v>
      </c>
    </row>
    <row r="66" spans="3:12" x14ac:dyDescent="0.3">
      <c r="C66" s="1">
        <v>15</v>
      </c>
      <c r="D66" t="s">
        <v>4</v>
      </c>
      <c r="E66">
        <f>E20+E43</f>
        <v>31</v>
      </c>
      <c r="F66">
        <f>F20+F43</f>
        <v>13</v>
      </c>
      <c r="G66">
        <f>G20+G43</f>
        <v>9</v>
      </c>
      <c r="H66">
        <f>H20+H43</f>
        <v>9</v>
      </c>
      <c r="I66">
        <f>I20+I43</f>
        <v>37</v>
      </c>
      <c r="J66">
        <f>J20+J43</f>
        <v>27</v>
      </c>
      <c r="K66" s="4">
        <f>K20+K43</f>
        <v>10</v>
      </c>
      <c r="L66">
        <f>L20+L43</f>
        <v>48</v>
      </c>
    </row>
    <row r="67" spans="3:12" x14ac:dyDescent="0.3">
      <c r="C67" s="1">
        <v>16</v>
      </c>
      <c r="D67" t="s">
        <v>10</v>
      </c>
      <c r="E67">
        <f>E21+E44</f>
        <v>31</v>
      </c>
      <c r="F67">
        <f>F21+F44</f>
        <v>11</v>
      </c>
      <c r="G67">
        <f>G21+G44</f>
        <v>6</v>
      </c>
      <c r="H67">
        <f>H21+H44</f>
        <v>14</v>
      </c>
      <c r="I67">
        <f>I21+I44</f>
        <v>48</v>
      </c>
      <c r="J67">
        <f>J21+J44</f>
        <v>46</v>
      </c>
      <c r="K67" s="4">
        <f>K21+K44</f>
        <v>2</v>
      </c>
      <c r="L67">
        <f>L21+L44</f>
        <v>39</v>
      </c>
    </row>
    <row r="68" spans="3:12" x14ac:dyDescent="0.3">
      <c r="C68" s="1">
        <v>17</v>
      </c>
      <c r="D68" t="s">
        <v>3</v>
      </c>
      <c r="E68">
        <f>E22+E45</f>
        <v>31</v>
      </c>
      <c r="F68">
        <f>F22+F45</f>
        <v>18</v>
      </c>
      <c r="G68">
        <f>G22+G45</f>
        <v>7</v>
      </c>
      <c r="H68">
        <f>H22+H45</f>
        <v>6</v>
      </c>
      <c r="I68">
        <f>I22+I45</f>
        <v>54</v>
      </c>
      <c r="J68">
        <f>J22+J45</f>
        <v>33</v>
      </c>
      <c r="K68" s="4">
        <f>K22+K45</f>
        <v>21</v>
      </c>
      <c r="L68">
        <f>L22+L45</f>
        <v>61</v>
      </c>
    </row>
    <row r="69" spans="3:12" x14ac:dyDescent="0.3">
      <c r="C69" s="1">
        <v>18</v>
      </c>
      <c r="D69" t="s">
        <v>18</v>
      </c>
      <c r="E69">
        <f>E23+E46</f>
        <v>31</v>
      </c>
      <c r="F69">
        <f>F23+F46</f>
        <v>4</v>
      </c>
      <c r="G69">
        <f>G23+G46</f>
        <v>10</v>
      </c>
      <c r="H69">
        <f>H23+H46</f>
        <v>17</v>
      </c>
      <c r="I69">
        <f>I23+I46</f>
        <v>33</v>
      </c>
      <c r="J69">
        <f>J23+J46</f>
        <v>58</v>
      </c>
      <c r="K69" s="4">
        <f>K23+K46</f>
        <v>-25</v>
      </c>
      <c r="L69">
        <f>L23+L46</f>
        <v>17</v>
      </c>
    </row>
  </sheetData>
  <sortState xmlns:xlrd2="http://schemas.microsoft.com/office/spreadsheetml/2017/richdata2" ref="D52:L69">
    <sortCondition ref="D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1519-6E48-4677-AE28-76BD43DF1603}">
  <dimension ref="B4:F22"/>
  <sheetViews>
    <sheetView workbookViewId="0">
      <selection activeCell="D19" sqref="D19"/>
    </sheetView>
  </sheetViews>
  <sheetFormatPr baseColWidth="10" defaultRowHeight="14.4" x14ac:dyDescent="0.3"/>
  <cols>
    <col min="2" max="2" width="18.44140625" bestFit="1" customWidth="1"/>
    <col min="3" max="3" width="11.21875" bestFit="1" customWidth="1"/>
    <col min="4" max="4" width="16.6640625" bestFit="1" customWidth="1"/>
  </cols>
  <sheetData>
    <row r="4" spans="2:6" x14ac:dyDescent="0.3">
      <c r="B4" s="3" t="s">
        <v>0</v>
      </c>
      <c r="C4" s="3" t="s">
        <v>36</v>
      </c>
      <c r="D4" s="3" t="s">
        <v>37</v>
      </c>
      <c r="E4" s="3" t="s">
        <v>38</v>
      </c>
      <c r="F4" s="3" t="s">
        <v>39</v>
      </c>
    </row>
    <row r="5" spans="2:6" x14ac:dyDescent="0.3">
      <c r="B5" t="s">
        <v>2</v>
      </c>
      <c r="C5" t="s">
        <v>6</v>
      </c>
      <c r="D5" t="s">
        <v>40</v>
      </c>
      <c r="E5">
        <v>1.45</v>
      </c>
      <c r="F5">
        <v>5</v>
      </c>
    </row>
    <row r="6" spans="2:6" x14ac:dyDescent="0.3">
      <c r="B6" t="s">
        <v>3</v>
      </c>
      <c r="C6" t="s">
        <v>41</v>
      </c>
      <c r="D6" t="s">
        <v>42</v>
      </c>
      <c r="E6">
        <v>1.25</v>
      </c>
      <c r="F6">
        <v>4</v>
      </c>
    </row>
    <row r="7" spans="2:6" x14ac:dyDescent="0.3">
      <c r="B7" t="s">
        <v>4</v>
      </c>
      <c r="C7" t="s">
        <v>43</v>
      </c>
      <c r="D7" t="s">
        <v>44</v>
      </c>
      <c r="E7">
        <v>1.1499999999999999</v>
      </c>
      <c r="F7">
        <v>4</v>
      </c>
    </row>
    <row r="8" spans="2:6" x14ac:dyDescent="0.3">
      <c r="B8" t="s">
        <v>5</v>
      </c>
      <c r="C8" t="s">
        <v>45</v>
      </c>
      <c r="D8" t="s">
        <v>46</v>
      </c>
      <c r="E8">
        <v>1.35</v>
      </c>
      <c r="F8">
        <v>4</v>
      </c>
    </row>
    <row r="9" spans="2:6" x14ac:dyDescent="0.3">
      <c r="B9" t="s">
        <v>6</v>
      </c>
      <c r="C9" t="s">
        <v>6</v>
      </c>
      <c r="D9" t="s">
        <v>40</v>
      </c>
      <c r="E9">
        <v>1.4</v>
      </c>
      <c r="F9">
        <v>4</v>
      </c>
    </row>
    <row r="10" spans="2:6" x14ac:dyDescent="0.3">
      <c r="B10" t="s">
        <v>7</v>
      </c>
      <c r="C10" t="s">
        <v>41</v>
      </c>
      <c r="D10" t="s">
        <v>42</v>
      </c>
      <c r="E10">
        <v>1.2</v>
      </c>
      <c r="F10">
        <v>3</v>
      </c>
    </row>
    <row r="11" spans="2:6" x14ac:dyDescent="0.3">
      <c r="B11" t="s">
        <v>8</v>
      </c>
      <c r="C11" t="s">
        <v>47</v>
      </c>
      <c r="D11" t="s">
        <v>48</v>
      </c>
      <c r="E11">
        <v>1.3</v>
      </c>
      <c r="F11">
        <v>3</v>
      </c>
    </row>
    <row r="12" spans="2:6" x14ac:dyDescent="0.3">
      <c r="B12" t="s">
        <v>9</v>
      </c>
      <c r="C12" t="s">
        <v>49</v>
      </c>
      <c r="D12" t="s">
        <v>50</v>
      </c>
      <c r="E12">
        <v>1.2</v>
      </c>
      <c r="F12">
        <v>3</v>
      </c>
    </row>
    <row r="13" spans="2:6" x14ac:dyDescent="0.3">
      <c r="B13" t="s">
        <v>10</v>
      </c>
      <c r="C13" t="s">
        <v>41</v>
      </c>
      <c r="D13" t="s">
        <v>42</v>
      </c>
      <c r="E13">
        <v>1.2</v>
      </c>
      <c r="F13">
        <v>3</v>
      </c>
    </row>
    <row r="14" spans="2:6" x14ac:dyDescent="0.3">
      <c r="B14" t="s">
        <v>11</v>
      </c>
      <c r="C14" t="s">
        <v>51</v>
      </c>
      <c r="D14" t="s">
        <v>46</v>
      </c>
      <c r="E14">
        <v>1.35</v>
      </c>
      <c r="F14">
        <v>3</v>
      </c>
    </row>
    <row r="15" spans="2:6" x14ac:dyDescent="0.3">
      <c r="B15" t="s">
        <v>12</v>
      </c>
      <c r="C15" t="s">
        <v>52</v>
      </c>
      <c r="D15" t="s">
        <v>40</v>
      </c>
      <c r="E15">
        <v>1.4</v>
      </c>
      <c r="F15">
        <v>3</v>
      </c>
    </row>
    <row r="16" spans="2:6" x14ac:dyDescent="0.3">
      <c r="B16" t="s">
        <v>13</v>
      </c>
      <c r="C16" t="s">
        <v>53</v>
      </c>
      <c r="D16" t="s">
        <v>48</v>
      </c>
      <c r="E16">
        <v>1.25</v>
      </c>
      <c r="F16">
        <v>2</v>
      </c>
    </row>
    <row r="17" spans="2:6" x14ac:dyDescent="0.3">
      <c r="B17" t="s">
        <v>14</v>
      </c>
      <c r="C17" t="s">
        <v>54</v>
      </c>
      <c r="D17" t="s">
        <v>48</v>
      </c>
      <c r="E17">
        <v>1.25</v>
      </c>
      <c r="F17">
        <v>2</v>
      </c>
    </row>
    <row r="18" spans="2:6" x14ac:dyDescent="0.3">
      <c r="B18" t="s">
        <v>15</v>
      </c>
      <c r="C18" t="s">
        <v>55</v>
      </c>
      <c r="D18" t="s">
        <v>56</v>
      </c>
      <c r="E18">
        <v>1.25</v>
      </c>
      <c r="F18">
        <v>2</v>
      </c>
    </row>
    <row r="19" spans="2:6" x14ac:dyDescent="0.3">
      <c r="B19" t="s">
        <v>16</v>
      </c>
      <c r="C19" t="s">
        <v>57</v>
      </c>
      <c r="D19" t="s">
        <v>40</v>
      </c>
      <c r="E19">
        <v>1.4</v>
      </c>
      <c r="F19">
        <v>2</v>
      </c>
    </row>
    <row r="20" spans="2:6" x14ac:dyDescent="0.3">
      <c r="B20" t="s">
        <v>17</v>
      </c>
      <c r="C20" t="s">
        <v>6</v>
      </c>
      <c r="D20" t="s">
        <v>40</v>
      </c>
      <c r="E20">
        <v>1.4</v>
      </c>
      <c r="F20">
        <v>1</v>
      </c>
    </row>
    <row r="21" spans="2:6" x14ac:dyDescent="0.3">
      <c r="B21" t="s">
        <v>18</v>
      </c>
      <c r="C21" t="s">
        <v>54</v>
      </c>
      <c r="D21" t="s">
        <v>48</v>
      </c>
      <c r="E21">
        <v>1.25</v>
      </c>
      <c r="F21">
        <v>1</v>
      </c>
    </row>
    <row r="22" spans="2:6" x14ac:dyDescent="0.3">
      <c r="B22" t="s">
        <v>19</v>
      </c>
      <c r="C22" t="s">
        <v>58</v>
      </c>
      <c r="D22" t="s">
        <v>40</v>
      </c>
      <c r="E22">
        <v>1.45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Tabla_Posiciones</vt:lpstr>
      <vt:lpstr>Data_Geografica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GIULIANNO TARRILLO URIARTE</dc:creator>
  <cp:lastModifiedBy>GIULIANNO TARRILLO URIARTE</cp:lastModifiedBy>
  <dcterms:created xsi:type="dcterms:W3CDTF">2026-08-31T14:24:38Z</dcterms:created>
  <dcterms:modified xsi:type="dcterms:W3CDTF">2026-08-31T14:41:59Z</dcterms:modified>
</cp:coreProperties>
</file>