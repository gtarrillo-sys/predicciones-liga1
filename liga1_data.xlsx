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EMPRESA\"/>
    </mc:Choice>
  </mc:AlternateContent>
  <xr:revisionPtr revIDLastSave="0" documentId="13_ncr:1_{26A9C15E-2E11-4EC1-A6C7-AB6F5CFB09AE}" xr6:coauthVersionLast="47" xr6:coauthVersionMax="47" xr10:uidLastSave="{00000000-0000-0000-0000-000000000000}"/>
  <bookViews>
    <workbookView xWindow="-120" yWindow="-120" windowWidth="29040" windowHeight="15840" activeTab="2" xr2:uid="{F65AA1A5-5127-43BD-8A19-36C436C51554}"/>
  </bookViews>
  <sheets>
    <sheet name="Partidos_Fecha" sheetId="5" r:id="rId1"/>
    <sheet name="Resultados_Clausura" sheetId="6" r:id="rId2"/>
    <sheet name="Data_Geografica" sheetId="1" r:id="rId3"/>
    <sheet name="Tabla_Posiciones_Acumulado" sheetId="3" r:id="rId4"/>
  </sheets>
  <definedNames>
    <definedName name="_xlnm._FilterDatabase" localSheetId="1" hidden="1">Resultados_Clausura!$A$1:$F$64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" i="3"/>
  <c r="I19" i="3"/>
  <c r="I3" i="3"/>
  <c r="I12" i="3"/>
  <c r="I4" i="3"/>
  <c r="I10" i="3"/>
  <c r="I9" i="3"/>
  <c r="I16" i="3"/>
  <c r="I2" i="3"/>
  <c r="I11" i="3"/>
  <c r="I8" i="3"/>
  <c r="I13" i="3"/>
  <c r="I17" i="3"/>
  <c r="I15" i="3"/>
  <c r="I14" i="3"/>
  <c r="I6" i="3"/>
  <c r="I7" i="3"/>
  <c r="I5" i="3"/>
  <c r="I18" i="3"/>
</calcChain>
</file>

<file path=xl/sharedStrings.xml><?xml version="1.0" encoding="utf-8"?>
<sst xmlns="http://schemas.openxmlformats.org/spreadsheetml/2006/main" count="999" uniqueCount="127">
  <si>
    <t>Club</t>
  </si>
  <si>
    <t>Puntos</t>
  </si>
  <si>
    <t>Deportivo Garcilaso</t>
  </si>
  <si>
    <t>Universitario</t>
  </si>
  <si>
    <t>Sport Boys</t>
  </si>
  <si>
    <t>Alianza Atlético</t>
  </si>
  <si>
    <t>Cusco</t>
  </si>
  <si>
    <t>Alianza Lima</t>
  </si>
  <si>
    <t>Melgar</t>
  </si>
  <si>
    <t>Sporting Cristal</t>
  </si>
  <si>
    <t>Atlético Grau</t>
  </si>
  <si>
    <t>Comerciantes Unidos</t>
  </si>
  <si>
    <t>FC Cajamarca</t>
  </si>
  <si>
    <t>CD Moquegua</t>
  </si>
  <si>
    <t>Chankas CYC</t>
  </si>
  <si>
    <t>Cienciano</t>
  </si>
  <si>
    <t>UTC</t>
  </si>
  <si>
    <t>ADT</t>
  </si>
  <si>
    <t>Rango</t>
  </si>
  <si>
    <t>Partidos jugados</t>
  </si>
  <si>
    <t>Victorias</t>
  </si>
  <si>
    <t>Empates</t>
  </si>
  <si>
    <t>Perdidos</t>
  </si>
  <si>
    <t>Goles a favor</t>
  </si>
  <si>
    <t>Goles en contra</t>
  </si>
  <si>
    <t>Diferencia de goles</t>
  </si>
  <si>
    <t>Ciudad</t>
  </si>
  <si>
    <t>Tipo_Clima</t>
  </si>
  <si>
    <t>Factor_Local</t>
  </si>
  <si>
    <t>Racha</t>
  </si>
  <si>
    <t>Altura Extremada</t>
  </si>
  <si>
    <t>Lima</t>
  </si>
  <si>
    <t>Llano</t>
  </si>
  <si>
    <t>Callao</t>
  </si>
  <si>
    <t>Llano/Humedad</t>
  </si>
  <si>
    <t>Sullana</t>
  </si>
  <si>
    <t>Calor Extremo</t>
  </si>
  <si>
    <t>Arequipa</t>
  </si>
  <si>
    <t>Altura Media</t>
  </si>
  <si>
    <t>Chongoyape</t>
  </si>
  <si>
    <t>Calor</t>
  </si>
  <si>
    <t>Piura</t>
  </si>
  <si>
    <t>Huancayo</t>
  </si>
  <si>
    <t>Cutervo</t>
  </si>
  <si>
    <t>Cajamarca</t>
  </si>
  <si>
    <t>Moquegua</t>
  </si>
  <si>
    <t>Altura Media/Calor</t>
  </si>
  <si>
    <t>Andahuaylas</t>
  </si>
  <si>
    <t>Tarma</t>
  </si>
  <si>
    <t>Jornada</t>
  </si>
  <si>
    <t>Local</t>
  </si>
  <si>
    <t>Jornada 8</t>
  </si>
  <si>
    <t>Tipo_Cancha</t>
  </si>
  <si>
    <t>Traslado_Complejo</t>
  </si>
  <si>
    <t>Explicación del Traslado / Logística</t>
  </si>
  <si>
    <t>Natural</t>
  </si>
  <si>
    <t>Tarma. Exige vuelo a Jauja/Lima + viaje largo en bus por curvas.</t>
  </si>
  <si>
    <t>Sullana. Vuelo directo a Piura + tramo corto por carretera.</t>
  </si>
  <si>
    <t>Capital (Lima). Logística ideal y rápida.</t>
  </si>
  <si>
    <t>Piura. Cuenta con aeropuerto principal directo.</t>
  </si>
  <si>
    <t>Cusco. Aeropuerto internacional en la misma ciudad.</t>
  </si>
  <si>
    <t>Sintético</t>
  </si>
  <si>
    <t>Cutervo. Estadio con grass artificial. Vuelo a Jaén/Chiclayo + muchas horas de bus accidentado.</t>
  </si>
  <si>
    <t>Cusco FC</t>
  </si>
  <si>
    <t>Cusco. Conexión aérea inmediata.</t>
  </si>
  <si>
    <t>Moquegua. Exige volar a Tacna o Arequipa + traslado en carretera.</t>
  </si>
  <si>
    <t>Arequipa. Aeropuerto principal directo a la ciudad.</t>
  </si>
  <si>
    <t>Cajamarca. Juega en grass sintético (Héroes de San Ramón) pero tiene aeropuerto directo.</t>
  </si>
  <si>
    <t>Chongoyape. Vuelo directo a Chiclayo + tramo muy corto en bus.</t>
  </si>
  <si>
    <t>Andahuaylas. Logística difícil; vuelos propensos a cancelarse o ruta larga por bus.</t>
  </si>
  <si>
    <t>Callao / Lima. Logística ideal junto al aeropuerto.</t>
  </si>
  <si>
    <t>Lima. Logística ideal sin desgaste.</t>
  </si>
  <si>
    <t>Huancayo. Exige vuelo a Jauja o Lima + viaje terrestre por la Carretera Central.</t>
  </si>
  <si>
    <t>Lima. Logística óptima en la capital.</t>
  </si>
  <si>
    <t>Cajamarca. Comparte el grass artificial con FC Cajamarca. Cuenta con aeropuerto.</t>
  </si>
  <si>
    <t>Sport Huancayo</t>
  </si>
  <si>
    <t>Visita</t>
  </si>
  <si>
    <t>Hora</t>
  </si>
  <si>
    <t>Estadio</t>
  </si>
  <si>
    <t>Viernes 04/09/2026</t>
  </si>
  <si>
    <t>Club Cienciano</t>
  </si>
  <si>
    <t>Estadio Héroes de San Ramón</t>
  </si>
  <si>
    <t>Estadio Campeones del 36</t>
  </si>
  <si>
    <t>Sábado 05/09/2026</t>
  </si>
  <si>
    <t>Estadio IPD Huancayo</t>
  </si>
  <si>
    <t>Estadio Inca Garcilaso de la Vega</t>
  </si>
  <si>
    <t>Estadio Monumental «U»</t>
  </si>
  <si>
    <t>Domingo 06/09/2026</t>
  </si>
  <si>
    <t>Los Chankas</t>
  </si>
  <si>
    <t>Estadio Alberto Gallardo</t>
  </si>
  <si>
    <t>Juan Pablo II College</t>
  </si>
  <si>
    <t>Complejo Deportivo Juan Pablo II</t>
  </si>
  <si>
    <t>FBC Melgar</t>
  </si>
  <si>
    <t>Estadio Monumental UNSA</t>
  </si>
  <si>
    <t>Viernes 11/09/2026</t>
  </si>
  <si>
    <t>Sábado 12/09/2026</t>
  </si>
  <si>
    <t>Estadio Los Chankas</t>
  </si>
  <si>
    <t>Estadio Juan Maldonado Gamarra</t>
  </si>
  <si>
    <t>Estadio 25 de Noviembre</t>
  </si>
  <si>
    <t>Estadio Alejandro Villanueva</t>
  </si>
  <si>
    <t>Domingo 13/09/2026</t>
  </si>
  <si>
    <t>Estadio Miguel Grau</t>
  </si>
  <si>
    <t>Viernes 18/09/2026</t>
  </si>
  <si>
    <t>Sábado 19/09/2026</t>
  </si>
  <si>
    <t>Por Confirmar</t>
  </si>
  <si>
    <t>TBD</t>
  </si>
  <si>
    <t>Estadio Unión Tarma</t>
  </si>
  <si>
    <t>Jornada 9</t>
  </si>
  <si>
    <t>Jornada 10</t>
  </si>
  <si>
    <t>Jornada 11</t>
  </si>
  <si>
    <t>Jornada 12</t>
  </si>
  <si>
    <t>Jornada 13</t>
  </si>
  <si>
    <t>Jornada 14</t>
  </si>
  <si>
    <t>Jornada 15</t>
  </si>
  <si>
    <t>Jornada 16</t>
  </si>
  <si>
    <t>Jornada 17</t>
  </si>
  <si>
    <t>Día</t>
  </si>
  <si>
    <t>Goles_Local</t>
  </si>
  <si>
    <t>Goles_Visita</t>
  </si>
  <si>
    <t>Jornada 1</t>
  </si>
  <si>
    <t>UTC Cajamarca</t>
  </si>
  <si>
    <t>Jornada 2</t>
  </si>
  <si>
    <t>Jornada 3</t>
  </si>
  <si>
    <t>Jornada 4</t>
  </si>
  <si>
    <t>Jornada 5</t>
  </si>
  <si>
    <t>Jornada 6</t>
  </si>
  <si>
    <t>Jornada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</si>
</sst>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0" borderId="0" xfId="0" applyFont="1" applyAlignment="1">
      <alignment horizontal="left"/>
    </xf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2EF26-12B4-42FB-A7B0-526C261DFFAB}">
  <dimension ref="A1:G91"/>
  <sheetViews>
    <sheetView workbookViewId="0">
      <selection activeCell="D9" sqref="D9"/>
    </sheetView>
  </sheetViews>
  <sheetFormatPr baseColWidth="10" defaultRowHeight="15" x14ac:dyDescent="0.25"/>
  <cols>
    <col min="1" max="1" width="10.28515625" bestFit="1" customWidth="1"/>
    <col min="2" max="2" width="19.28515625" bestFit="1" customWidth="1"/>
    <col min="3" max="3" width="5.5703125" bestFit="1" customWidth="1"/>
    <col min="4" max="5" width="19.85546875" bestFit="1" customWidth="1"/>
    <col min="6" max="6" width="30.7109375" bestFit="1" customWidth="1"/>
    <col min="7" max="7" width="12.28515625" bestFit="1" customWidth="1"/>
  </cols>
  <sheetData>
    <row r="1" spans="1:7" x14ac:dyDescent="0.25">
      <c r="A1" s="1" t="s">
        <v>49</v>
      </c>
      <c r="B1" s="1" t="s">
        <v>116</v>
      </c>
      <c r="C1" s="1" t="s">
        <v>77</v>
      </c>
      <c r="D1" s="1" t="s">
        <v>50</v>
      </c>
      <c r="E1" s="1" t="s">
        <v>76</v>
      </c>
      <c r="F1" s="1" t="s">
        <v>78</v>
      </c>
      <c r="G1" s="1" t="s">
        <v>26</v>
      </c>
    </row>
    <row r="2" spans="1:7" x14ac:dyDescent="0.25">
      <c r="A2" t="s">
        <v>51</v>
      </c>
      <c r="B2" t="s">
        <v>79</v>
      </c>
      <c r="C2" s="4">
        <v>0.54166666666666663</v>
      </c>
      <c r="D2" t="s">
        <v>12</v>
      </c>
      <c r="E2" t="s">
        <v>80</v>
      </c>
      <c r="F2" t="s">
        <v>81</v>
      </c>
      <c r="G2" t="s">
        <v>44</v>
      </c>
    </row>
    <row r="3" spans="1:7" x14ac:dyDescent="0.25">
      <c r="A3" t="s">
        <v>51</v>
      </c>
      <c r="B3" t="s">
        <v>79</v>
      </c>
      <c r="C3" s="4">
        <v>0.63541666666666663</v>
      </c>
      <c r="D3" t="s">
        <v>5</v>
      </c>
      <c r="E3" t="s">
        <v>16</v>
      </c>
      <c r="F3" t="s">
        <v>82</v>
      </c>
      <c r="G3" t="s">
        <v>35</v>
      </c>
    </row>
    <row r="4" spans="1:7" x14ac:dyDescent="0.25">
      <c r="A4" t="s">
        <v>51</v>
      </c>
      <c r="B4" t="s">
        <v>83</v>
      </c>
      <c r="C4" s="4">
        <v>0.625</v>
      </c>
      <c r="D4" t="s">
        <v>75</v>
      </c>
      <c r="E4" t="s">
        <v>4</v>
      </c>
      <c r="F4" t="s">
        <v>84</v>
      </c>
      <c r="G4" t="s">
        <v>42</v>
      </c>
    </row>
    <row r="5" spans="1:7" x14ac:dyDescent="0.25">
      <c r="A5" t="s">
        <v>51</v>
      </c>
      <c r="B5" t="s">
        <v>83</v>
      </c>
      <c r="C5" s="4">
        <v>0.75</v>
      </c>
      <c r="D5" t="s">
        <v>63</v>
      </c>
      <c r="E5" t="s">
        <v>13</v>
      </c>
      <c r="F5" t="s">
        <v>85</v>
      </c>
      <c r="G5" t="s">
        <v>6</v>
      </c>
    </row>
    <row r="6" spans="1:7" x14ac:dyDescent="0.25">
      <c r="A6" t="s">
        <v>51</v>
      </c>
      <c r="B6" t="s">
        <v>83</v>
      </c>
      <c r="C6" s="4">
        <v>0.85416666666666663</v>
      </c>
      <c r="D6" t="s">
        <v>3</v>
      </c>
      <c r="E6" t="s">
        <v>11</v>
      </c>
      <c r="F6" t="s">
        <v>86</v>
      </c>
      <c r="G6" t="s">
        <v>31</v>
      </c>
    </row>
    <row r="7" spans="1:7" x14ac:dyDescent="0.25">
      <c r="A7" t="s">
        <v>51</v>
      </c>
      <c r="B7" t="s">
        <v>87</v>
      </c>
      <c r="C7" s="4">
        <v>0.45833333333333331</v>
      </c>
      <c r="D7" t="s">
        <v>9</v>
      </c>
      <c r="E7" t="s">
        <v>88</v>
      </c>
      <c r="F7" t="s">
        <v>89</v>
      </c>
      <c r="G7" t="s">
        <v>31</v>
      </c>
    </row>
    <row r="8" spans="1:7" x14ac:dyDescent="0.25">
      <c r="A8" t="s">
        <v>51</v>
      </c>
      <c r="B8" t="s">
        <v>87</v>
      </c>
      <c r="C8" s="4">
        <v>0.5625</v>
      </c>
      <c r="D8" t="s">
        <v>2</v>
      </c>
      <c r="E8" t="s">
        <v>10</v>
      </c>
      <c r="F8" t="s">
        <v>85</v>
      </c>
      <c r="G8" t="s">
        <v>6</v>
      </c>
    </row>
    <row r="9" spans="1:7" x14ac:dyDescent="0.25">
      <c r="A9" t="s">
        <v>51</v>
      </c>
      <c r="B9" t="s">
        <v>87</v>
      </c>
      <c r="C9" s="4">
        <v>0.625</v>
      </c>
      <c r="D9" t="s">
        <v>90</v>
      </c>
      <c r="E9" t="s">
        <v>7</v>
      </c>
      <c r="F9" t="s">
        <v>91</v>
      </c>
      <c r="G9" t="s">
        <v>39</v>
      </c>
    </row>
    <row r="10" spans="1:7" x14ac:dyDescent="0.25">
      <c r="A10" t="s">
        <v>51</v>
      </c>
      <c r="B10" t="s">
        <v>87</v>
      </c>
      <c r="C10" s="4">
        <v>0.77083333333333337</v>
      </c>
      <c r="D10" t="s">
        <v>92</v>
      </c>
      <c r="E10" t="s">
        <v>17</v>
      </c>
      <c r="F10" t="s">
        <v>93</v>
      </c>
      <c r="G10" t="s">
        <v>37</v>
      </c>
    </row>
    <row r="11" spans="1:7" x14ac:dyDescent="0.25">
      <c r="A11" t="s">
        <v>107</v>
      </c>
      <c r="B11" t="s">
        <v>94</v>
      </c>
      <c r="C11" s="4">
        <v>0.625</v>
      </c>
      <c r="D11" t="s">
        <v>16</v>
      </c>
      <c r="E11" t="s">
        <v>90</v>
      </c>
      <c r="F11" t="s">
        <v>81</v>
      </c>
      <c r="G11" t="s">
        <v>44</v>
      </c>
    </row>
    <row r="12" spans="1:7" x14ac:dyDescent="0.25">
      <c r="A12" t="s">
        <v>107</v>
      </c>
      <c r="B12" t="s">
        <v>94</v>
      </c>
      <c r="C12" s="4">
        <v>0.79166666666666663</v>
      </c>
      <c r="D12" t="s">
        <v>63</v>
      </c>
      <c r="E12" t="s">
        <v>92</v>
      </c>
      <c r="F12" t="s">
        <v>85</v>
      </c>
      <c r="G12" t="s">
        <v>6</v>
      </c>
    </row>
    <row r="13" spans="1:7" x14ac:dyDescent="0.25">
      <c r="A13" t="s">
        <v>107</v>
      </c>
      <c r="B13" t="s">
        <v>95</v>
      </c>
      <c r="C13" s="4">
        <v>0.4375</v>
      </c>
      <c r="D13" t="s">
        <v>88</v>
      </c>
      <c r="E13" t="s">
        <v>12</v>
      </c>
      <c r="F13" t="s">
        <v>96</v>
      </c>
      <c r="G13" t="s">
        <v>47</v>
      </c>
    </row>
    <row r="14" spans="1:7" x14ac:dyDescent="0.25">
      <c r="A14" t="s">
        <v>107</v>
      </c>
      <c r="B14" t="s">
        <v>95</v>
      </c>
      <c r="C14" s="4">
        <v>0.54166666666666663</v>
      </c>
      <c r="D14" t="s">
        <v>11</v>
      </c>
      <c r="E14" t="s">
        <v>75</v>
      </c>
      <c r="F14" t="s">
        <v>97</v>
      </c>
      <c r="G14" t="s">
        <v>43</v>
      </c>
    </row>
    <row r="15" spans="1:7" x14ac:dyDescent="0.25">
      <c r="A15" t="s">
        <v>107</v>
      </c>
      <c r="B15" t="s">
        <v>95</v>
      </c>
      <c r="C15" s="4">
        <v>0.63541666666666663</v>
      </c>
      <c r="D15" t="s">
        <v>13</v>
      </c>
      <c r="E15" t="s">
        <v>9</v>
      </c>
      <c r="F15" t="s">
        <v>98</v>
      </c>
      <c r="G15" t="s">
        <v>45</v>
      </c>
    </row>
    <row r="16" spans="1:7" x14ac:dyDescent="0.25">
      <c r="A16" s="4" t="s">
        <v>107</v>
      </c>
      <c r="B16" t="s">
        <v>95</v>
      </c>
      <c r="C16" s="4">
        <v>0.83333333333333337</v>
      </c>
      <c r="D16" t="s">
        <v>7</v>
      </c>
      <c r="E16" t="s">
        <v>3</v>
      </c>
      <c r="F16" t="s">
        <v>99</v>
      </c>
      <c r="G16" t="s">
        <v>31</v>
      </c>
    </row>
    <row r="17" spans="1:7" x14ac:dyDescent="0.25">
      <c r="A17" s="4" t="s">
        <v>107</v>
      </c>
      <c r="B17" t="s">
        <v>100</v>
      </c>
      <c r="C17" s="4">
        <v>0.54166666666666663</v>
      </c>
      <c r="D17" t="s">
        <v>4</v>
      </c>
      <c r="E17" t="s">
        <v>2</v>
      </c>
      <c r="F17" t="s">
        <v>101</v>
      </c>
      <c r="G17" t="s">
        <v>33</v>
      </c>
    </row>
    <row r="18" spans="1:7" x14ac:dyDescent="0.25">
      <c r="A18" t="s">
        <v>107</v>
      </c>
      <c r="B18" t="s">
        <v>100</v>
      </c>
      <c r="C18" s="4">
        <v>0.63541666666666663</v>
      </c>
      <c r="D18" t="s">
        <v>10</v>
      </c>
      <c r="E18" t="s">
        <v>5</v>
      </c>
      <c r="F18" t="s">
        <v>82</v>
      </c>
      <c r="G18" t="s">
        <v>35</v>
      </c>
    </row>
    <row r="19" spans="1:7" x14ac:dyDescent="0.25">
      <c r="A19" t="s">
        <v>107</v>
      </c>
      <c r="B19" t="s">
        <v>100</v>
      </c>
      <c r="C19" s="4">
        <v>0.75</v>
      </c>
      <c r="D19" t="s">
        <v>80</v>
      </c>
      <c r="E19" t="s">
        <v>17</v>
      </c>
      <c r="F19" t="s">
        <v>85</v>
      </c>
      <c r="G19" t="s">
        <v>6</v>
      </c>
    </row>
    <row r="20" spans="1:7" x14ac:dyDescent="0.25">
      <c r="A20" t="s">
        <v>108</v>
      </c>
      <c r="B20" t="s">
        <v>102</v>
      </c>
      <c r="C20" s="4">
        <v>0.625</v>
      </c>
      <c r="D20" t="s">
        <v>5</v>
      </c>
      <c r="E20" t="s">
        <v>11</v>
      </c>
      <c r="F20" t="s">
        <v>82</v>
      </c>
      <c r="G20" t="s">
        <v>35</v>
      </c>
    </row>
    <row r="21" spans="1:7" x14ac:dyDescent="0.25">
      <c r="A21" t="s">
        <v>108</v>
      </c>
      <c r="B21" t="s">
        <v>102</v>
      </c>
      <c r="C21" s="4">
        <v>0.83333333333333337</v>
      </c>
      <c r="D21" t="s">
        <v>7</v>
      </c>
      <c r="E21" t="s">
        <v>17</v>
      </c>
      <c r="F21" t="s">
        <v>99</v>
      </c>
      <c r="G21" t="s">
        <v>31</v>
      </c>
    </row>
    <row r="22" spans="1:7" x14ac:dyDescent="0.25">
      <c r="A22" t="s">
        <v>108</v>
      </c>
      <c r="B22" t="s">
        <v>103</v>
      </c>
      <c r="C22" s="4">
        <v>0.54166666666666663</v>
      </c>
      <c r="D22" t="s">
        <v>12</v>
      </c>
      <c r="E22" t="s">
        <v>63</v>
      </c>
      <c r="F22" t="s">
        <v>81</v>
      </c>
      <c r="G22" t="s">
        <v>44</v>
      </c>
    </row>
    <row r="23" spans="1:7" x14ac:dyDescent="0.25">
      <c r="A23" t="s">
        <v>108</v>
      </c>
      <c r="B23" t="s">
        <v>103</v>
      </c>
      <c r="C23" s="4">
        <v>0.64583333333333337</v>
      </c>
      <c r="D23" t="s">
        <v>9</v>
      </c>
      <c r="E23" t="s">
        <v>10</v>
      </c>
      <c r="F23" t="s">
        <v>89</v>
      </c>
      <c r="G23" t="s">
        <v>31</v>
      </c>
    </row>
    <row r="24" spans="1:7" x14ac:dyDescent="0.25">
      <c r="A24" t="s">
        <v>108</v>
      </c>
      <c r="B24" t="s">
        <v>103</v>
      </c>
      <c r="C24" s="4">
        <v>0.75</v>
      </c>
      <c r="D24" t="s">
        <v>2</v>
      </c>
      <c r="E24" t="s">
        <v>3</v>
      </c>
      <c r="F24" t="s">
        <v>85</v>
      </c>
      <c r="G24" t="s">
        <v>6</v>
      </c>
    </row>
    <row r="25" spans="1:7" x14ac:dyDescent="0.25">
      <c r="A25" t="s">
        <v>108</v>
      </c>
      <c r="B25" t="s">
        <v>104</v>
      </c>
      <c r="C25" t="s">
        <v>105</v>
      </c>
      <c r="D25" t="s">
        <v>16</v>
      </c>
      <c r="E25" t="s">
        <v>75</v>
      </c>
      <c r="F25" t="s">
        <v>81</v>
      </c>
      <c r="G25" t="s">
        <v>44</v>
      </c>
    </row>
    <row r="26" spans="1:7" x14ac:dyDescent="0.25">
      <c r="A26" t="s">
        <v>108</v>
      </c>
      <c r="B26" t="s">
        <v>104</v>
      </c>
      <c r="C26" t="s">
        <v>105</v>
      </c>
      <c r="D26" t="s">
        <v>88</v>
      </c>
      <c r="E26" t="s">
        <v>80</v>
      </c>
      <c r="F26" t="s">
        <v>96</v>
      </c>
      <c r="G26" t="s">
        <v>47</v>
      </c>
    </row>
    <row r="27" spans="1:7" x14ac:dyDescent="0.25">
      <c r="A27" t="s">
        <v>108</v>
      </c>
      <c r="B27" t="s">
        <v>104</v>
      </c>
      <c r="C27" t="s">
        <v>105</v>
      </c>
      <c r="D27" t="s">
        <v>4</v>
      </c>
      <c r="E27" t="s">
        <v>92</v>
      </c>
      <c r="F27" t="s">
        <v>101</v>
      </c>
      <c r="G27" t="s">
        <v>33</v>
      </c>
    </row>
    <row r="28" spans="1:7" x14ac:dyDescent="0.25">
      <c r="A28" t="s">
        <v>108</v>
      </c>
      <c r="B28" t="s">
        <v>104</v>
      </c>
      <c r="C28" t="s">
        <v>105</v>
      </c>
      <c r="D28" t="s">
        <v>13</v>
      </c>
      <c r="E28" t="s">
        <v>90</v>
      </c>
      <c r="F28" t="s">
        <v>98</v>
      </c>
      <c r="G28" t="s">
        <v>45</v>
      </c>
    </row>
    <row r="29" spans="1:7" x14ac:dyDescent="0.25">
      <c r="A29" t="s">
        <v>109</v>
      </c>
      <c r="B29" t="s">
        <v>104</v>
      </c>
      <c r="C29" t="s">
        <v>105</v>
      </c>
      <c r="D29" t="s">
        <v>5</v>
      </c>
      <c r="E29" t="s">
        <v>4</v>
      </c>
      <c r="F29" t="s">
        <v>82</v>
      </c>
      <c r="G29" t="s">
        <v>35</v>
      </c>
    </row>
    <row r="30" spans="1:7" x14ac:dyDescent="0.25">
      <c r="A30" t="s">
        <v>109</v>
      </c>
      <c r="B30" t="s">
        <v>104</v>
      </c>
      <c r="C30" t="s">
        <v>105</v>
      </c>
      <c r="D30" t="s">
        <v>92</v>
      </c>
      <c r="E30" t="s">
        <v>3</v>
      </c>
      <c r="F30" t="s">
        <v>93</v>
      </c>
      <c r="G30" t="s">
        <v>37</v>
      </c>
    </row>
    <row r="31" spans="1:7" x14ac:dyDescent="0.25">
      <c r="A31" t="s">
        <v>109</v>
      </c>
      <c r="B31" t="s">
        <v>104</v>
      </c>
      <c r="C31" t="s">
        <v>105</v>
      </c>
      <c r="D31" t="s">
        <v>7</v>
      </c>
      <c r="E31" t="s">
        <v>63</v>
      </c>
      <c r="F31" t="s">
        <v>99</v>
      </c>
      <c r="G31" t="s">
        <v>31</v>
      </c>
    </row>
    <row r="32" spans="1:7" x14ac:dyDescent="0.25">
      <c r="A32" t="s">
        <v>109</v>
      </c>
      <c r="B32" t="s">
        <v>104</v>
      </c>
      <c r="C32" t="s">
        <v>105</v>
      </c>
      <c r="D32" t="s">
        <v>80</v>
      </c>
      <c r="E32" t="s">
        <v>13</v>
      </c>
      <c r="F32" t="s">
        <v>85</v>
      </c>
      <c r="G32" t="s">
        <v>6</v>
      </c>
    </row>
    <row r="33" spans="1:7" x14ac:dyDescent="0.25">
      <c r="A33" t="s">
        <v>109</v>
      </c>
      <c r="B33" t="s">
        <v>104</v>
      </c>
      <c r="C33" t="s">
        <v>105</v>
      </c>
      <c r="D33" t="s">
        <v>75</v>
      </c>
      <c r="E33" t="s">
        <v>2</v>
      </c>
      <c r="F33" t="s">
        <v>84</v>
      </c>
      <c r="G33" t="s">
        <v>42</v>
      </c>
    </row>
    <row r="34" spans="1:7" x14ac:dyDescent="0.25">
      <c r="A34" t="s">
        <v>109</v>
      </c>
      <c r="B34" t="s">
        <v>104</v>
      </c>
      <c r="C34" t="s">
        <v>105</v>
      </c>
      <c r="D34" t="s">
        <v>9</v>
      </c>
      <c r="E34" t="s">
        <v>16</v>
      </c>
      <c r="F34" t="s">
        <v>89</v>
      </c>
      <c r="G34" t="s">
        <v>31</v>
      </c>
    </row>
    <row r="35" spans="1:7" x14ac:dyDescent="0.25">
      <c r="A35" t="s">
        <v>109</v>
      </c>
      <c r="B35" t="s">
        <v>104</v>
      </c>
      <c r="C35" t="s">
        <v>105</v>
      </c>
      <c r="D35" t="s">
        <v>12</v>
      </c>
      <c r="E35" t="s">
        <v>17</v>
      </c>
      <c r="F35" t="s">
        <v>81</v>
      </c>
      <c r="G35" t="s">
        <v>44</v>
      </c>
    </row>
    <row r="36" spans="1:7" x14ac:dyDescent="0.25">
      <c r="A36" t="s">
        <v>109</v>
      </c>
      <c r="B36" t="s">
        <v>104</v>
      </c>
      <c r="C36" t="s">
        <v>105</v>
      </c>
      <c r="D36" t="s">
        <v>88</v>
      </c>
      <c r="E36" t="s">
        <v>10</v>
      </c>
      <c r="F36" t="s">
        <v>96</v>
      </c>
      <c r="G36" t="s">
        <v>47</v>
      </c>
    </row>
    <row r="37" spans="1:7" x14ac:dyDescent="0.25">
      <c r="A37" t="s">
        <v>109</v>
      </c>
      <c r="B37" t="s">
        <v>104</v>
      </c>
      <c r="C37" t="s">
        <v>105</v>
      </c>
      <c r="D37" t="s">
        <v>11</v>
      </c>
      <c r="E37" t="s">
        <v>90</v>
      </c>
      <c r="F37" t="s">
        <v>97</v>
      </c>
      <c r="G37" t="s">
        <v>43</v>
      </c>
    </row>
    <row r="38" spans="1:7" x14ac:dyDescent="0.25">
      <c r="A38" t="s">
        <v>110</v>
      </c>
      <c r="B38" t="s">
        <v>104</v>
      </c>
      <c r="C38" t="s">
        <v>105</v>
      </c>
      <c r="D38" t="s">
        <v>63</v>
      </c>
      <c r="E38" t="s">
        <v>75</v>
      </c>
      <c r="F38" t="s">
        <v>85</v>
      </c>
      <c r="G38" t="s">
        <v>6</v>
      </c>
    </row>
    <row r="39" spans="1:7" x14ac:dyDescent="0.25">
      <c r="A39" t="s">
        <v>110</v>
      </c>
      <c r="B39" t="s">
        <v>104</v>
      </c>
      <c r="C39" t="s">
        <v>105</v>
      </c>
      <c r="D39" t="s">
        <v>17</v>
      </c>
      <c r="E39" t="s">
        <v>88</v>
      </c>
      <c r="F39" t="s">
        <v>106</v>
      </c>
      <c r="G39" t="s">
        <v>48</v>
      </c>
    </row>
    <row r="40" spans="1:7" x14ac:dyDescent="0.25">
      <c r="A40" t="s">
        <v>110</v>
      </c>
      <c r="B40" t="s">
        <v>104</v>
      </c>
      <c r="C40" t="s">
        <v>105</v>
      </c>
      <c r="D40" t="s">
        <v>16</v>
      </c>
      <c r="E40" t="s">
        <v>80</v>
      </c>
      <c r="F40" t="s">
        <v>81</v>
      </c>
      <c r="G40" t="s">
        <v>44</v>
      </c>
    </row>
    <row r="41" spans="1:7" x14ac:dyDescent="0.25">
      <c r="A41" t="s">
        <v>110</v>
      </c>
      <c r="B41" t="s">
        <v>104</v>
      </c>
      <c r="C41" t="s">
        <v>105</v>
      </c>
      <c r="D41" t="s">
        <v>2</v>
      </c>
      <c r="E41" t="s">
        <v>92</v>
      </c>
      <c r="F41" t="s">
        <v>85</v>
      </c>
      <c r="G41" t="s">
        <v>6</v>
      </c>
    </row>
    <row r="42" spans="1:7" x14ac:dyDescent="0.25">
      <c r="A42" t="s">
        <v>110</v>
      </c>
      <c r="B42" t="s">
        <v>104</v>
      </c>
      <c r="C42" t="s">
        <v>105</v>
      </c>
      <c r="D42" t="s">
        <v>10</v>
      </c>
      <c r="E42" t="s">
        <v>7</v>
      </c>
      <c r="F42" t="s">
        <v>82</v>
      </c>
      <c r="G42" t="s">
        <v>35</v>
      </c>
    </row>
    <row r="43" spans="1:7" x14ac:dyDescent="0.25">
      <c r="A43" t="s">
        <v>110</v>
      </c>
      <c r="B43" t="s">
        <v>104</v>
      </c>
      <c r="C43" t="s">
        <v>105</v>
      </c>
      <c r="D43" t="s">
        <v>3</v>
      </c>
      <c r="E43" t="s">
        <v>5</v>
      </c>
      <c r="F43" t="s">
        <v>86</v>
      </c>
      <c r="G43" t="s">
        <v>31</v>
      </c>
    </row>
    <row r="44" spans="1:7" x14ac:dyDescent="0.25">
      <c r="A44" t="s">
        <v>110</v>
      </c>
      <c r="B44" t="s">
        <v>104</v>
      </c>
      <c r="C44" t="s">
        <v>105</v>
      </c>
      <c r="D44" t="s">
        <v>4</v>
      </c>
      <c r="E44" t="s">
        <v>90</v>
      </c>
      <c r="F44" t="s">
        <v>101</v>
      </c>
      <c r="G44" t="s">
        <v>33</v>
      </c>
    </row>
    <row r="45" spans="1:7" x14ac:dyDescent="0.25">
      <c r="A45" t="s">
        <v>110</v>
      </c>
      <c r="B45" t="s">
        <v>104</v>
      </c>
      <c r="C45" t="s">
        <v>105</v>
      </c>
      <c r="D45" t="s">
        <v>13</v>
      </c>
      <c r="E45" t="s">
        <v>12</v>
      </c>
      <c r="F45" t="s">
        <v>98</v>
      </c>
      <c r="G45" t="s">
        <v>45</v>
      </c>
    </row>
    <row r="46" spans="1:7" x14ac:dyDescent="0.25">
      <c r="A46" t="s">
        <v>110</v>
      </c>
      <c r="B46" t="s">
        <v>104</v>
      </c>
      <c r="C46" t="s">
        <v>105</v>
      </c>
      <c r="D46" t="s">
        <v>11</v>
      </c>
      <c r="E46" t="s">
        <v>9</v>
      </c>
      <c r="F46" t="s">
        <v>97</v>
      </c>
      <c r="G46" t="s">
        <v>43</v>
      </c>
    </row>
    <row r="47" spans="1:7" x14ac:dyDescent="0.25">
      <c r="A47" t="s">
        <v>111</v>
      </c>
      <c r="B47" t="s">
        <v>104</v>
      </c>
      <c r="C47" t="s">
        <v>105</v>
      </c>
      <c r="D47" t="s">
        <v>5</v>
      </c>
      <c r="E47" t="s">
        <v>75</v>
      </c>
      <c r="F47" t="s">
        <v>82</v>
      </c>
      <c r="G47" t="s">
        <v>35</v>
      </c>
    </row>
    <row r="48" spans="1:7" x14ac:dyDescent="0.25">
      <c r="A48" t="s">
        <v>111</v>
      </c>
      <c r="B48" t="s">
        <v>104</v>
      </c>
      <c r="C48" t="s">
        <v>105</v>
      </c>
      <c r="D48" t="s">
        <v>17</v>
      </c>
      <c r="E48" t="s">
        <v>10</v>
      </c>
      <c r="F48" t="s">
        <v>106</v>
      </c>
      <c r="G48" t="s">
        <v>48</v>
      </c>
    </row>
    <row r="49" spans="1:7" x14ac:dyDescent="0.25">
      <c r="A49" t="s">
        <v>111</v>
      </c>
      <c r="B49" t="s">
        <v>104</v>
      </c>
      <c r="C49" t="s">
        <v>105</v>
      </c>
      <c r="D49" t="s">
        <v>92</v>
      </c>
      <c r="E49" t="s">
        <v>16</v>
      </c>
      <c r="F49" t="s">
        <v>93</v>
      </c>
      <c r="G49" t="s">
        <v>37</v>
      </c>
    </row>
    <row r="50" spans="1:7" x14ac:dyDescent="0.25">
      <c r="A50" t="s">
        <v>111</v>
      </c>
      <c r="B50" t="s">
        <v>104</v>
      </c>
      <c r="C50" t="s">
        <v>105</v>
      </c>
      <c r="D50" t="s">
        <v>7</v>
      </c>
      <c r="E50" t="s">
        <v>13</v>
      </c>
      <c r="F50" t="s">
        <v>99</v>
      </c>
      <c r="G50" t="s">
        <v>31</v>
      </c>
    </row>
    <row r="51" spans="1:7" x14ac:dyDescent="0.25">
      <c r="A51" t="s">
        <v>111</v>
      </c>
      <c r="B51" t="s">
        <v>104</v>
      </c>
      <c r="C51" t="s">
        <v>105</v>
      </c>
      <c r="D51" t="s">
        <v>80</v>
      </c>
      <c r="E51" t="s">
        <v>11</v>
      </c>
      <c r="F51" t="s">
        <v>85</v>
      </c>
      <c r="G51" t="s">
        <v>6</v>
      </c>
    </row>
    <row r="52" spans="1:7" x14ac:dyDescent="0.25">
      <c r="A52" t="s">
        <v>111</v>
      </c>
      <c r="B52" t="s">
        <v>104</v>
      </c>
      <c r="C52" t="s">
        <v>105</v>
      </c>
      <c r="D52" t="s">
        <v>9</v>
      </c>
      <c r="E52" t="s">
        <v>63</v>
      </c>
      <c r="F52" t="s">
        <v>89</v>
      </c>
      <c r="G52" t="s">
        <v>31</v>
      </c>
    </row>
    <row r="53" spans="1:7" x14ac:dyDescent="0.25">
      <c r="A53" t="s">
        <v>111</v>
      </c>
      <c r="B53" t="s">
        <v>104</v>
      </c>
      <c r="C53" t="s">
        <v>105</v>
      </c>
      <c r="D53" t="s">
        <v>12</v>
      </c>
      <c r="E53" t="s">
        <v>4</v>
      </c>
      <c r="F53" t="s">
        <v>81</v>
      </c>
      <c r="G53" t="s">
        <v>44</v>
      </c>
    </row>
    <row r="54" spans="1:7" x14ac:dyDescent="0.25">
      <c r="A54" t="s">
        <v>111</v>
      </c>
      <c r="B54" t="s">
        <v>104</v>
      </c>
      <c r="C54" t="s">
        <v>105</v>
      </c>
      <c r="D54" t="s">
        <v>90</v>
      </c>
      <c r="E54" t="s">
        <v>2</v>
      </c>
      <c r="F54" t="s">
        <v>91</v>
      </c>
      <c r="G54" t="s">
        <v>39</v>
      </c>
    </row>
    <row r="55" spans="1:7" x14ac:dyDescent="0.25">
      <c r="A55" t="s">
        <v>111</v>
      </c>
      <c r="B55" t="s">
        <v>104</v>
      </c>
      <c r="C55" t="s">
        <v>105</v>
      </c>
      <c r="D55" t="s">
        <v>88</v>
      </c>
      <c r="E55" t="s">
        <v>3</v>
      </c>
      <c r="F55" t="s">
        <v>96</v>
      </c>
      <c r="G55" t="s">
        <v>47</v>
      </c>
    </row>
    <row r="56" spans="1:7" x14ac:dyDescent="0.25">
      <c r="A56" t="s">
        <v>112</v>
      </c>
      <c r="B56" t="s">
        <v>104</v>
      </c>
      <c r="C56" t="s">
        <v>105</v>
      </c>
      <c r="D56" t="s">
        <v>63</v>
      </c>
      <c r="E56" t="s">
        <v>88</v>
      </c>
      <c r="F56" t="s">
        <v>85</v>
      </c>
      <c r="G56" t="s">
        <v>6</v>
      </c>
    </row>
    <row r="57" spans="1:7" x14ac:dyDescent="0.25">
      <c r="A57" t="s">
        <v>112</v>
      </c>
      <c r="B57" t="s">
        <v>104</v>
      </c>
      <c r="C57" t="s">
        <v>105</v>
      </c>
      <c r="D57" t="s">
        <v>16</v>
      </c>
      <c r="E57" t="s">
        <v>12</v>
      </c>
      <c r="F57" t="s">
        <v>81</v>
      </c>
      <c r="G57" t="s">
        <v>44</v>
      </c>
    </row>
    <row r="58" spans="1:7" x14ac:dyDescent="0.25">
      <c r="A58" t="s">
        <v>112</v>
      </c>
      <c r="B58" t="s">
        <v>104</v>
      </c>
      <c r="C58" t="s">
        <v>105</v>
      </c>
      <c r="D58" t="s">
        <v>7</v>
      </c>
      <c r="E58" t="s">
        <v>9</v>
      </c>
      <c r="F58" t="s">
        <v>99</v>
      </c>
      <c r="G58" t="s">
        <v>31</v>
      </c>
    </row>
    <row r="59" spans="1:7" x14ac:dyDescent="0.25">
      <c r="A59" t="s">
        <v>112</v>
      </c>
      <c r="B59" t="s">
        <v>104</v>
      </c>
      <c r="C59" t="s">
        <v>105</v>
      </c>
      <c r="D59" t="s">
        <v>2</v>
      </c>
      <c r="E59" t="s">
        <v>5</v>
      </c>
      <c r="F59" t="s">
        <v>85</v>
      </c>
      <c r="G59" t="s">
        <v>6</v>
      </c>
    </row>
    <row r="60" spans="1:7" x14ac:dyDescent="0.25">
      <c r="A60" t="s">
        <v>112</v>
      </c>
      <c r="B60" t="s">
        <v>104</v>
      </c>
      <c r="C60" t="s">
        <v>105</v>
      </c>
      <c r="D60" t="s">
        <v>75</v>
      </c>
      <c r="E60" t="s">
        <v>90</v>
      </c>
      <c r="F60" t="s">
        <v>84</v>
      </c>
      <c r="G60" t="s">
        <v>42</v>
      </c>
    </row>
    <row r="61" spans="1:7" x14ac:dyDescent="0.25">
      <c r="A61" t="s">
        <v>112</v>
      </c>
      <c r="B61" t="s">
        <v>104</v>
      </c>
      <c r="C61" t="s">
        <v>105</v>
      </c>
      <c r="D61" t="s">
        <v>10</v>
      </c>
      <c r="E61" t="s">
        <v>80</v>
      </c>
      <c r="F61" t="s">
        <v>82</v>
      </c>
      <c r="G61" t="s">
        <v>35</v>
      </c>
    </row>
    <row r="62" spans="1:7" x14ac:dyDescent="0.25">
      <c r="A62" t="s">
        <v>112</v>
      </c>
      <c r="B62" t="s">
        <v>104</v>
      </c>
      <c r="C62" t="s">
        <v>105</v>
      </c>
      <c r="D62" t="s">
        <v>4</v>
      </c>
      <c r="E62" t="s">
        <v>3</v>
      </c>
      <c r="F62" t="s">
        <v>101</v>
      </c>
      <c r="G62" t="s">
        <v>33</v>
      </c>
    </row>
    <row r="63" spans="1:7" x14ac:dyDescent="0.25">
      <c r="A63" t="s">
        <v>112</v>
      </c>
      <c r="B63" t="s">
        <v>104</v>
      </c>
      <c r="C63" t="s">
        <v>105</v>
      </c>
      <c r="D63" t="s">
        <v>13</v>
      </c>
      <c r="E63" t="s">
        <v>17</v>
      </c>
      <c r="F63" t="s">
        <v>98</v>
      </c>
      <c r="G63" t="s">
        <v>45</v>
      </c>
    </row>
    <row r="64" spans="1:7" x14ac:dyDescent="0.25">
      <c r="A64" t="s">
        <v>112</v>
      </c>
      <c r="B64" t="s">
        <v>104</v>
      </c>
      <c r="C64" t="s">
        <v>105</v>
      </c>
      <c r="D64" t="s">
        <v>11</v>
      </c>
      <c r="E64" t="s">
        <v>92</v>
      </c>
      <c r="F64" t="s">
        <v>97</v>
      </c>
      <c r="G64" t="s">
        <v>43</v>
      </c>
    </row>
    <row r="65" spans="1:7" x14ac:dyDescent="0.25">
      <c r="A65" t="s">
        <v>113</v>
      </c>
      <c r="B65" t="s">
        <v>104</v>
      </c>
      <c r="C65" t="s">
        <v>105</v>
      </c>
      <c r="D65" t="s">
        <v>92</v>
      </c>
      <c r="E65" t="s">
        <v>75</v>
      </c>
      <c r="F65" t="s">
        <v>93</v>
      </c>
      <c r="G65" t="s">
        <v>37</v>
      </c>
    </row>
    <row r="66" spans="1:7" x14ac:dyDescent="0.25">
      <c r="A66" t="s">
        <v>113</v>
      </c>
      <c r="B66" t="s">
        <v>104</v>
      </c>
      <c r="C66" t="s">
        <v>105</v>
      </c>
      <c r="D66" t="s">
        <v>80</v>
      </c>
      <c r="E66" t="s">
        <v>7</v>
      </c>
      <c r="F66" t="s">
        <v>85</v>
      </c>
      <c r="G66" t="s">
        <v>6</v>
      </c>
    </row>
    <row r="67" spans="1:7" x14ac:dyDescent="0.25">
      <c r="A67" t="s">
        <v>113</v>
      </c>
      <c r="B67" t="s">
        <v>104</v>
      </c>
      <c r="C67" t="s">
        <v>105</v>
      </c>
      <c r="D67" t="s">
        <v>2</v>
      </c>
      <c r="E67" t="s">
        <v>16</v>
      </c>
      <c r="F67" t="s">
        <v>85</v>
      </c>
      <c r="G67" t="s">
        <v>6</v>
      </c>
    </row>
    <row r="68" spans="1:7" x14ac:dyDescent="0.25">
      <c r="A68" t="s">
        <v>113</v>
      </c>
      <c r="B68" t="s">
        <v>104</v>
      </c>
      <c r="C68" t="s">
        <v>105</v>
      </c>
      <c r="D68" t="s">
        <v>3</v>
      </c>
      <c r="E68" t="s">
        <v>10</v>
      </c>
      <c r="F68" t="s">
        <v>86</v>
      </c>
      <c r="G68" t="s">
        <v>31</v>
      </c>
    </row>
    <row r="69" spans="1:7" x14ac:dyDescent="0.25">
      <c r="A69" t="s">
        <v>113</v>
      </c>
      <c r="B69" t="s">
        <v>104</v>
      </c>
      <c r="C69" t="s">
        <v>105</v>
      </c>
      <c r="D69" t="s">
        <v>12</v>
      </c>
      <c r="E69" t="s">
        <v>9</v>
      </c>
      <c r="F69" t="s">
        <v>81</v>
      </c>
      <c r="G69" t="s">
        <v>44</v>
      </c>
    </row>
    <row r="70" spans="1:7" x14ac:dyDescent="0.25">
      <c r="A70" t="s">
        <v>113</v>
      </c>
      <c r="B70" t="s">
        <v>104</v>
      </c>
      <c r="C70" t="s">
        <v>105</v>
      </c>
      <c r="D70" t="s">
        <v>88</v>
      </c>
      <c r="E70" t="s">
        <v>13</v>
      </c>
      <c r="F70" t="s">
        <v>96</v>
      </c>
      <c r="G70" t="s">
        <v>47</v>
      </c>
    </row>
    <row r="71" spans="1:7" x14ac:dyDescent="0.25">
      <c r="A71" t="s">
        <v>113</v>
      </c>
      <c r="B71" t="s">
        <v>104</v>
      </c>
      <c r="C71" t="s">
        <v>105</v>
      </c>
      <c r="D71" t="s">
        <v>4</v>
      </c>
      <c r="E71" t="s">
        <v>63</v>
      </c>
      <c r="F71" t="s">
        <v>101</v>
      </c>
      <c r="G71" t="s">
        <v>33</v>
      </c>
    </row>
    <row r="72" spans="1:7" x14ac:dyDescent="0.25">
      <c r="A72" t="s">
        <v>113</v>
      </c>
      <c r="B72" t="s">
        <v>104</v>
      </c>
      <c r="C72" t="s">
        <v>105</v>
      </c>
      <c r="D72" t="s">
        <v>90</v>
      </c>
      <c r="E72" t="s">
        <v>5</v>
      </c>
      <c r="F72" t="s">
        <v>91</v>
      </c>
      <c r="G72" t="s">
        <v>39</v>
      </c>
    </row>
    <row r="73" spans="1:7" x14ac:dyDescent="0.25">
      <c r="A73" t="s">
        <v>113</v>
      </c>
      <c r="B73" t="s">
        <v>104</v>
      </c>
      <c r="C73" t="s">
        <v>105</v>
      </c>
      <c r="D73" t="s">
        <v>17</v>
      </c>
      <c r="E73" t="s">
        <v>11</v>
      </c>
      <c r="F73" t="s">
        <v>106</v>
      </c>
      <c r="G73" t="s">
        <v>48</v>
      </c>
    </row>
    <row r="74" spans="1:7" x14ac:dyDescent="0.25">
      <c r="A74" t="s">
        <v>114</v>
      </c>
      <c r="B74" t="s">
        <v>104</v>
      </c>
      <c r="C74" t="s">
        <v>105</v>
      </c>
      <c r="D74" t="s">
        <v>63</v>
      </c>
      <c r="E74" t="s">
        <v>10</v>
      </c>
      <c r="F74" t="s">
        <v>85</v>
      </c>
      <c r="G74" t="s">
        <v>6</v>
      </c>
    </row>
    <row r="75" spans="1:7" x14ac:dyDescent="0.25">
      <c r="A75" t="s">
        <v>114</v>
      </c>
      <c r="B75" t="s">
        <v>104</v>
      </c>
      <c r="C75" t="s">
        <v>105</v>
      </c>
      <c r="D75" t="s">
        <v>90</v>
      </c>
      <c r="E75" t="s">
        <v>92</v>
      </c>
      <c r="F75" t="s">
        <v>91</v>
      </c>
      <c r="G75" t="s">
        <v>39</v>
      </c>
    </row>
    <row r="76" spans="1:7" x14ac:dyDescent="0.25">
      <c r="A76" t="s">
        <v>114</v>
      </c>
      <c r="B76" t="s">
        <v>104</v>
      </c>
      <c r="C76" t="s">
        <v>105</v>
      </c>
      <c r="D76" t="s">
        <v>5</v>
      </c>
      <c r="E76" t="s">
        <v>12</v>
      </c>
      <c r="F76" t="s">
        <v>82</v>
      </c>
      <c r="G76" t="s">
        <v>35</v>
      </c>
    </row>
    <row r="77" spans="1:7" x14ac:dyDescent="0.25">
      <c r="A77" t="s">
        <v>114</v>
      </c>
      <c r="B77" t="s">
        <v>104</v>
      </c>
      <c r="C77" t="s">
        <v>105</v>
      </c>
      <c r="D77" t="s">
        <v>16</v>
      </c>
      <c r="E77" t="s">
        <v>4</v>
      </c>
      <c r="F77" t="s">
        <v>81</v>
      </c>
      <c r="G77" t="s">
        <v>44</v>
      </c>
    </row>
    <row r="78" spans="1:7" x14ac:dyDescent="0.25">
      <c r="A78" t="s">
        <v>114</v>
      </c>
      <c r="B78" t="s">
        <v>104</v>
      </c>
      <c r="C78" t="s">
        <v>105</v>
      </c>
      <c r="D78" t="s">
        <v>7</v>
      </c>
      <c r="E78" t="s">
        <v>88</v>
      </c>
      <c r="F78" t="s">
        <v>99</v>
      </c>
      <c r="G78" t="s">
        <v>31</v>
      </c>
    </row>
    <row r="79" spans="1:7" x14ac:dyDescent="0.25">
      <c r="A79" t="s">
        <v>114</v>
      </c>
      <c r="B79" t="s">
        <v>104</v>
      </c>
      <c r="C79" t="s">
        <v>105</v>
      </c>
      <c r="D79" t="s">
        <v>75</v>
      </c>
      <c r="E79" t="s">
        <v>80</v>
      </c>
      <c r="F79" t="s">
        <v>84</v>
      </c>
      <c r="G79" t="s">
        <v>42</v>
      </c>
    </row>
    <row r="80" spans="1:7" x14ac:dyDescent="0.25">
      <c r="A80" t="s">
        <v>114</v>
      </c>
      <c r="B80" t="s">
        <v>104</v>
      </c>
      <c r="C80" t="s">
        <v>105</v>
      </c>
      <c r="D80" t="s">
        <v>9</v>
      </c>
      <c r="E80" t="s">
        <v>17</v>
      </c>
      <c r="F80" t="s">
        <v>89</v>
      </c>
      <c r="G80" t="s">
        <v>31</v>
      </c>
    </row>
    <row r="81" spans="1:7" x14ac:dyDescent="0.25">
      <c r="A81" t="s">
        <v>114</v>
      </c>
      <c r="B81" t="s">
        <v>104</v>
      </c>
      <c r="C81" t="s">
        <v>105</v>
      </c>
      <c r="D81" t="s">
        <v>13</v>
      </c>
      <c r="E81" t="s">
        <v>3</v>
      </c>
      <c r="F81" t="s">
        <v>98</v>
      </c>
      <c r="G81" t="s">
        <v>45</v>
      </c>
    </row>
    <row r="82" spans="1:7" x14ac:dyDescent="0.25">
      <c r="A82" t="s">
        <v>114</v>
      </c>
      <c r="B82" t="s">
        <v>104</v>
      </c>
      <c r="C82" t="s">
        <v>105</v>
      </c>
      <c r="D82" t="s">
        <v>11</v>
      </c>
      <c r="E82" t="s">
        <v>2</v>
      </c>
      <c r="F82" t="s">
        <v>97</v>
      </c>
      <c r="G82" t="s">
        <v>43</v>
      </c>
    </row>
    <row r="83" spans="1:7" x14ac:dyDescent="0.25">
      <c r="A83" t="s">
        <v>115</v>
      </c>
      <c r="B83" t="s">
        <v>104</v>
      </c>
      <c r="C83" t="s">
        <v>105</v>
      </c>
      <c r="D83" t="s">
        <v>17</v>
      </c>
      <c r="E83" t="s">
        <v>63</v>
      </c>
      <c r="F83" t="s">
        <v>106</v>
      </c>
      <c r="G83" t="s">
        <v>48</v>
      </c>
    </row>
    <row r="84" spans="1:7" x14ac:dyDescent="0.25">
      <c r="A84" t="s">
        <v>115</v>
      </c>
      <c r="B84" t="s">
        <v>104</v>
      </c>
      <c r="C84" t="s">
        <v>105</v>
      </c>
      <c r="D84" t="s">
        <v>92</v>
      </c>
      <c r="E84" t="s">
        <v>5</v>
      </c>
      <c r="F84" t="s">
        <v>93</v>
      </c>
      <c r="G84" t="s">
        <v>37</v>
      </c>
    </row>
    <row r="85" spans="1:7" x14ac:dyDescent="0.25">
      <c r="A85" t="s">
        <v>115</v>
      </c>
      <c r="B85" t="s">
        <v>104</v>
      </c>
      <c r="C85" t="s">
        <v>105</v>
      </c>
      <c r="D85" t="s">
        <v>80</v>
      </c>
      <c r="E85" t="s">
        <v>9</v>
      </c>
      <c r="F85" t="s">
        <v>85</v>
      </c>
      <c r="G85" t="s">
        <v>6</v>
      </c>
    </row>
    <row r="86" spans="1:7" x14ac:dyDescent="0.25">
      <c r="A86" t="s">
        <v>115</v>
      </c>
      <c r="B86" t="s">
        <v>104</v>
      </c>
      <c r="C86" t="s">
        <v>105</v>
      </c>
      <c r="D86" t="s">
        <v>2</v>
      </c>
      <c r="E86" t="s">
        <v>90</v>
      </c>
      <c r="F86" t="s">
        <v>85</v>
      </c>
      <c r="G86" t="s">
        <v>6</v>
      </c>
    </row>
    <row r="87" spans="1:7" x14ac:dyDescent="0.25">
      <c r="A87" t="s">
        <v>115</v>
      </c>
      <c r="B87" t="s">
        <v>104</v>
      </c>
      <c r="C87" t="s">
        <v>105</v>
      </c>
      <c r="D87" t="s">
        <v>10</v>
      </c>
      <c r="E87" t="s">
        <v>13</v>
      </c>
      <c r="F87" t="s">
        <v>82</v>
      </c>
      <c r="G87" t="s">
        <v>35</v>
      </c>
    </row>
    <row r="88" spans="1:7" x14ac:dyDescent="0.25">
      <c r="A88" t="s">
        <v>115</v>
      </c>
      <c r="B88" t="s">
        <v>104</v>
      </c>
      <c r="C88" t="s">
        <v>105</v>
      </c>
      <c r="D88" t="s">
        <v>3</v>
      </c>
      <c r="E88" t="s">
        <v>75</v>
      </c>
      <c r="F88" t="s">
        <v>86</v>
      </c>
      <c r="G88" t="s">
        <v>31</v>
      </c>
    </row>
    <row r="89" spans="1:7" x14ac:dyDescent="0.25">
      <c r="A89" t="s">
        <v>115</v>
      </c>
      <c r="B89" t="s">
        <v>104</v>
      </c>
      <c r="C89" t="s">
        <v>105</v>
      </c>
      <c r="D89" t="s">
        <v>12</v>
      </c>
      <c r="E89" t="s">
        <v>7</v>
      </c>
      <c r="F89" t="s">
        <v>81</v>
      </c>
      <c r="G89" t="s">
        <v>44</v>
      </c>
    </row>
    <row r="90" spans="1:7" x14ac:dyDescent="0.25">
      <c r="A90" t="s">
        <v>115</v>
      </c>
      <c r="B90" t="s">
        <v>104</v>
      </c>
      <c r="C90" t="s">
        <v>105</v>
      </c>
      <c r="D90" t="s">
        <v>88</v>
      </c>
      <c r="E90" t="s">
        <v>16</v>
      </c>
      <c r="F90" t="s">
        <v>96</v>
      </c>
      <c r="G90" t="s">
        <v>47</v>
      </c>
    </row>
    <row r="91" spans="1:7" x14ac:dyDescent="0.25">
      <c r="A91" t="s">
        <v>115</v>
      </c>
      <c r="B91" t="s">
        <v>104</v>
      </c>
      <c r="C91" t="s">
        <v>105</v>
      </c>
      <c r="D91" t="s">
        <v>4</v>
      </c>
      <c r="E91" t="s">
        <v>11</v>
      </c>
      <c r="F91" t="s">
        <v>101</v>
      </c>
      <c r="G91" t="s">
        <v>33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8F64D-516C-4995-85D6-A667848076C6}">
  <dimension ref="A1:F64"/>
  <sheetViews>
    <sheetView workbookViewId="0">
      <selection activeCell="D27" sqref="D27"/>
    </sheetView>
  </sheetViews>
  <sheetFormatPr baseColWidth="10" defaultRowHeight="15" x14ac:dyDescent="0.25"/>
  <cols>
    <col min="1" max="1" width="9.28515625" bestFit="1" customWidth="1"/>
    <col min="2" max="2" width="19.85546875" bestFit="1" customWidth="1"/>
    <col min="3" max="3" width="11.5703125" bestFit="1" customWidth="1"/>
    <col min="4" max="4" width="12.140625" bestFit="1" customWidth="1"/>
    <col min="5" max="5" width="19.85546875" bestFit="1" customWidth="1"/>
    <col min="6" max="6" width="12.28515625" bestFit="1" customWidth="1"/>
  </cols>
  <sheetData>
    <row r="1" spans="1:6" x14ac:dyDescent="0.25">
      <c r="A1" s="1" t="s">
        <v>49</v>
      </c>
      <c r="B1" s="1" t="s">
        <v>50</v>
      </c>
      <c r="C1" s="1" t="s">
        <v>117</v>
      </c>
      <c r="D1" s="1" t="s">
        <v>118</v>
      </c>
      <c r="E1" s="1" t="s">
        <v>76</v>
      </c>
      <c r="F1" s="1" t="s">
        <v>26</v>
      </c>
    </row>
    <row r="2" spans="1:6" x14ac:dyDescent="0.25">
      <c r="A2" t="s">
        <v>119</v>
      </c>
      <c r="B2" t="s">
        <v>12</v>
      </c>
      <c r="C2">
        <v>2</v>
      </c>
      <c r="D2">
        <v>2</v>
      </c>
      <c r="E2" t="s">
        <v>90</v>
      </c>
      <c r="F2" t="s">
        <v>44</v>
      </c>
    </row>
    <row r="3" spans="1:6" x14ac:dyDescent="0.25">
      <c r="A3" t="s">
        <v>119</v>
      </c>
      <c r="B3" t="s">
        <v>9</v>
      </c>
      <c r="C3">
        <v>1</v>
      </c>
      <c r="D3">
        <v>0</v>
      </c>
      <c r="E3" t="s">
        <v>2</v>
      </c>
      <c r="F3" t="s">
        <v>31</v>
      </c>
    </row>
    <row r="4" spans="1:6" x14ac:dyDescent="0.25">
      <c r="A4" t="s">
        <v>119</v>
      </c>
      <c r="B4" t="s">
        <v>15</v>
      </c>
      <c r="C4">
        <v>1</v>
      </c>
      <c r="D4">
        <v>3</v>
      </c>
      <c r="E4" t="s">
        <v>8</v>
      </c>
      <c r="F4" t="s">
        <v>6</v>
      </c>
    </row>
    <row r="5" spans="1:6" x14ac:dyDescent="0.25">
      <c r="A5" t="s">
        <v>119</v>
      </c>
      <c r="B5" t="s">
        <v>13</v>
      </c>
      <c r="C5">
        <v>2</v>
      </c>
      <c r="D5">
        <v>2</v>
      </c>
      <c r="E5" t="s">
        <v>11</v>
      </c>
      <c r="F5" t="s">
        <v>45</v>
      </c>
    </row>
    <row r="6" spans="1:6" x14ac:dyDescent="0.25">
      <c r="A6" t="s">
        <v>119</v>
      </c>
      <c r="B6" t="s">
        <v>17</v>
      </c>
      <c r="C6">
        <v>1</v>
      </c>
      <c r="D6">
        <v>2</v>
      </c>
      <c r="E6" t="s">
        <v>3</v>
      </c>
      <c r="F6" t="s">
        <v>48</v>
      </c>
    </row>
    <row r="7" spans="1:6" x14ac:dyDescent="0.25">
      <c r="A7" t="s">
        <v>119</v>
      </c>
      <c r="B7" t="s">
        <v>10</v>
      </c>
      <c r="C7">
        <v>3</v>
      </c>
      <c r="D7">
        <v>1</v>
      </c>
      <c r="E7" t="s">
        <v>120</v>
      </c>
      <c r="F7" t="s">
        <v>35</v>
      </c>
    </row>
    <row r="8" spans="1:6" x14ac:dyDescent="0.25">
      <c r="A8" t="s">
        <v>119</v>
      </c>
      <c r="B8" t="s">
        <v>6</v>
      </c>
      <c r="C8">
        <v>4</v>
      </c>
      <c r="D8">
        <v>1</v>
      </c>
      <c r="E8" t="s">
        <v>5</v>
      </c>
      <c r="F8" t="s">
        <v>6</v>
      </c>
    </row>
    <row r="9" spans="1:6" x14ac:dyDescent="0.25">
      <c r="A9" t="s">
        <v>119</v>
      </c>
      <c r="B9" t="s">
        <v>14</v>
      </c>
      <c r="C9">
        <v>1</v>
      </c>
      <c r="D9">
        <v>0</v>
      </c>
      <c r="E9" t="s">
        <v>4</v>
      </c>
      <c r="F9" t="s">
        <v>47</v>
      </c>
    </row>
    <row r="10" spans="1:6" x14ac:dyDescent="0.25">
      <c r="A10" t="s">
        <v>119</v>
      </c>
      <c r="B10" t="s">
        <v>7</v>
      </c>
      <c r="C10">
        <v>2</v>
      </c>
      <c r="D10">
        <v>1</v>
      </c>
      <c r="E10" t="s">
        <v>75</v>
      </c>
      <c r="F10" t="s">
        <v>31</v>
      </c>
    </row>
    <row r="11" spans="1:6" x14ac:dyDescent="0.25">
      <c r="A11" t="s">
        <v>121</v>
      </c>
      <c r="B11" t="s">
        <v>5</v>
      </c>
      <c r="C11">
        <v>3</v>
      </c>
      <c r="D11">
        <v>1</v>
      </c>
      <c r="E11" t="s">
        <v>14</v>
      </c>
      <c r="F11" t="s">
        <v>35</v>
      </c>
    </row>
    <row r="12" spans="1:6" x14ac:dyDescent="0.25">
      <c r="A12" t="s">
        <v>121</v>
      </c>
      <c r="B12" t="s">
        <v>3</v>
      </c>
      <c r="C12">
        <v>2</v>
      </c>
      <c r="D12">
        <v>1</v>
      </c>
      <c r="E12" t="s">
        <v>6</v>
      </c>
      <c r="F12" t="s">
        <v>31</v>
      </c>
    </row>
    <row r="13" spans="1:6" x14ac:dyDescent="0.25">
      <c r="A13" t="s">
        <v>121</v>
      </c>
      <c r="B13" t="s">
        <v>4</v>
      </c>
      <c r="C13">
        <v>2</v>
      </c>
      <c r="D13">
        <v>0</v>
      </c>
      <c r="E13" t="s">
        <v>17</v>
      </c>
      <c r="F13" t="s">
        <v>33</v>
      </c>
    </row>
    <row r="14" spans="1:6" x14ac:dyDescent="0.25">
      <c r="A14" t="s">
        <v>121</v>
      </c>
      <c r="B14" t="s">
        <v>75</v>
      </c>
      <c r="C14">
        <v>2</v>
      </c>
      <c r="D14">
        <v>0</v>
      </c>
      <c r="E14" t="s">
        <v>10</v>
      </c>
      <c r="F14" t="s">
        <v>42</v>
      </c>
    </row>
    <row r="15" spans="1:6" x14ac:dyDescent="0.25">
      <c r="A15" t="s">
        <v>121</v>
      </c>
      <c r="B15" t="s">
        <v>90</v>
      </c>
      <c r="C15">
        <v>2</v>
      </c>
      <c r="D15">
        <v>0</v>
      </c>
      <c r="E15" t="s">
        <v>15</v>
      </c>
      <c r="F15" t="s">
        <v>39</v>
      </c>
    </row>
    <row r="16" spans="1:6" x14ac:dyDescent="0.25">
      <c r="A16" t="s">
        <v>121</v>
      </c>
      <c r="B16" t="s">
        <v>8</v>
      </c>
      <c r="C16">
        <v>2</v>
      </c>
      <c r="D16">
        <v>1</v>
      </c>
      <c r="E16" t="s">
        <v>9</v>
      </c>
      <c r="F16" t="s">
        <v>37</v>
      </c>
    </row>
    <row r="17" spans="1:6" x14ac:dyDescent="0.25">
      <c r="A17" t="s">
        <v>121</v>
      </c>
      <c r="B17" t="s">
        <v>120</v>
      </c>
      <c r="C17">
        <v>0</v>
      </c>
      <c r="D17">
        <v>0</v>
      </c>
      <c r="E17" t="s">
        <v>13</v>
      </c>
      <c r="F17" t="s">
        <v>44</v>
      </c>
    </row>
    <row r="18" spans="1:6" x14ac:dyDescent="0.25">
      <c r="A18" t="s">
        <v>121</v>
      </c>
      <c r="B18" t="s">
        <v>11</v>
      </c>
      <c r="C18">
        <v>2</v>
      </c>
      <c r="D18">
        <v>2</v>
      </c>
      <c r="E18" t="s">
        <v>7</v>
      </c>
      <c r="F18" t="s">
        <v>43</v>
      </c>
    </row>
    <row r="19" spans="1:6" x14ac:dyDescent="0.25">
      <c r="A19" t="s">
        <v>121</v>
      </c>
      <c r="B19" t="s">
        <v>2</v>
      </c>
      <c r="C19">
        <v>2</v>
      </c>
      <c r="D19">
        <v>1</v>
      </c>
      <c r="E19" t="s">
        <v>12</v>
      </c>
      <c r="F19" t="s">
        <v>6</v>
      </c>
    </row>
    <row r="20" spans="1:6" x14ac:dyDescent="0.25">
      <c r="A20" t="s">
        <v>122</v>
      </c>
      <c r="B20" t="s">
        <v>14</v>
      </c>
      <c r="C20">
        <v>3</v>
      </c>
      <c r="D20">
        <v>2</v>
      </c>
      <c r="E20" t="s">
        <v>11</v>
      </c>
      <c r="F20" t="s">
        <v>47</v>
      </c>
    </row>
    <row r="21" spans="1:6" x14ac:dyDescent="0.25">
      <c r="A21" t="s">
        <v>122</v>
      </c>
      <c r="B21" t="s">
        <v>12</v>
      </c>
      <c r="C21">
        <v>0</v>
      </c>
      <c r="D21">
        <v>2</v>
      </c>
      <c r="E21" t="s">
        <v>75</v>
      </c>
      <c r="F21" t="s">
        <v>44</v>
      </c>
    </row>
    <row r="22" spans="1:6" x14ac:dyDescent="0.25">
      <c r="A22" t="s">
        <v>122</v>
      </c>
      <c r="B22" t="s">
        <v>10</v>
      </c>
      <c r="C22">
        <v>0</v>
      </c>
      <c r="D22">
        <v>1</v>
      </c>
      <c r="E22" t="s">
        <v>4</v>
      </c>
      <c r="F22" t="s">
        <v>35</v>
      </c>
    </row>
    <row r="23" spans="1:6" x14ac:dyDescent="0.25">
      <c r="A23" t="s">
        <v>122</v>
      </c>
      <c r="B23" t="s">
        <v>6</v>
      </c>
      <c r="C23">
        <v>4</v>
      </c>
      <c r="D23">
        <v>1</v>
      </c>
      <c r="E23" t="s">
        <v>120</v>
      </c>
      <c r="F23" t="s">
        <v>6</v>
      </c>
    </row>
    <row r="24" spans="1:6" x14ac:dyDescent="0.25">
      <c r="A24" t="s">
        <v>122</v>
      </c>
      <c r="B24" t="s">
        <v>7</v>
      </c>
      <c r="C24">
        <v>3</v>
      </c>
      <c r="D24">
        <v>1</v>
      </c>
      <c r="E24" t="s">
        <v>5</v>
      </c>
      <c r="F24" t="s">
        <v>31</v>
      </c>
    </row>
    <row r="25" spans="1:6" x14ac:dyDescent="0.25">
      <c r="A25" t="s">
        <v>122</v>
      </c>
      <c r="B25" t="s">
        <v>9</v>
      </c>
      <c r="C25">
        <v>2</v>
      </c>
      <c r="D25">
        <v>0</v>
      </c>
      <c r="E25" t="s">
        <v>90</v>
      </c>
      <c r="F25" t="s">
        <v>31</v>
      </c>
    </row>
    <row r="26" spans="1:6" x14ac:dyDescent="0.25">
      <c r="A26" t="s">
        <v>122</v>
      </c>
      <c r="B26" t="s">
        <v>17</v>
      </c>
      <c r="C26">
        <v>0</v>
      </c>
      <c r="D26">
        <v>1</v>
      </c>
      <c r="E26" t="s">
        <v>2</v>
      </c>
      <c r="F26" t="s">
        <v>48</v>
      </c>
    </row>
    <row r="27" spans="1:6" x14ac:dyDescent="0.25">
      <c r="A27" t="s">
        <v>122</v>
      </c>
      <c r="B27" t="s">
        <v>13</v>
      </c>
      <c r="C27">
        <v>0</v>
      </c>
      <c r="D27">
        <v>0</v>
      </c>
      <c r="E27" t="s">
        <v>8</v>
      </c>
      <c r="F27" t="s">
        <v>45</v>
      </c>
    </row>
    <row r="28" spans="1:6" x14ac:dyDescent="0.25">
      <c r="A28" t="s">
        <v>122</v>
      </c>
      <c r="B28" t="s">
        <v>15</v>
      </c>
      <c r="C28">
        <v>2</v>
      </c>
      <c r="D28">
        <v>0</v>
      </c>
      <c r="E28" t="s">
        <v>3</v>
      </c>
      <c r="F28" t="s">
        <v>6</v>
      </c>
    </row>
    <row r="29" spans="1:6" x14ac:dyDescent="0.25">
      <c r="A29" t="s">
        <v>123</v>
      </c>
      <c r="B29" t="s">
        <v>5</v>
      </c>
      <c r="C29">
        <v>1</v>
      </c>
      <c r="D29">
        <v>0</v>
      </c>
      <c r="E29" t="s">
        <v>15</v>
      </c>
      <c r="F29" t="s">
        <v>35</v>
      </c>
    </row>
    <row r="30" spans="1:6" x14ac:dyDescent="0.25">
      <c r="A30" t="s">
        <v>123</v>
      </c>
      <c r="B30" t="s">
        <v>75</v>
      </c>
      <c r="C30">
        <v>1</v>
      </c>
      <c r="D30">
        <v>1</v>
      </c>
      <c r="E30" t="s">
        <v>14</v>
      </c>
      <c r="F30" t="s">
        <v>42</v>
      </c>
    </row>
    <row r="31" spans="1:6" x14ac:dyDescent="0.25">
      <c r="A31" t="s">
        <v>123</v>
      </c>
      <c r="B31" t="s">
        <v>11</v>
      </c>
      <c r="C31">
        <v>3</v>
      </c>
      <c r="D31">
        <v>1</v>
      </c>
      <c r="E31" t="s">
        <v>6</v>
      </c>
      <c r="F31" t="s">
        <v>43</v>
      </c>
    </row>
    <row r="32" spans="1:6" x14ac:dyDescent="0.25">
      <c r="A32" t="s">
        <v>123</v>
      </c>
      <c r="B32" t="s">
        <v>3</v>
      </c>
      <c r="C32">
        <v>1</v>
      </c>
      <c r="D32">
        <v>1</v>
      </c>
      <c r="E32" t="s">
        <v>9</v>
      </c>
      <c r="F32" t="s">
        <v>31</v>
      </c>
    </row>
    <row r="33" spans="1:6" x14ac:dyDescent="0.25">
      <c r="A33" t="s">
        <v>123</v>
      </c>
      <c r="B33" t="s">
        <v>120</v>
      </c>
      <c r="C33">
        <v>1</v>
      </c>
      <c r="D33">
        <v>1</v>
      </c>
      <c r="E33" t="s">
        <v>17</v>
      </c>
      <c r="F33" t="s">
        <v>44</v>
      </c>
    </row>
    <row r="34" spans="1:6" x14ac:dyDescent="0.25">
      <c r="A34" t="s">
        <v>123</v>
      </c>
      <c r="B34" t="s">
        <v>90</v>
      </c>
      <c r="C34">
        <v>0</v>
      </c>
      <c r="D34">
        <v>0</v>
      </c>
      <c r="E34" t="s">
        <v>10</v>
      </c>
      <c r="F34" t="s">
        <v>39</v>
      </c>
    </row>
    <row r="35" spans="1:6" x14ac:dyDescent="0.25">
      <c r="A35" t="s">
        <v>123</v>
      </c>
      <c r="B35" t="s">
        <v>4</v>
      </c>
      <c r="C35">
        <v>1</v>
      </c>
      <c r="D35">
        <v>1</v>
      </c>
      <c r="E35" t="s">
        <v>7</v>
      </c>
      <c r="F35" t="s">
        <v>33</v>
      </c>
    </row>
    <row r="36" spans="1:6" x14ac:dyDescent="0.25">
      <c r="A36" t="s">
        <v>123</v>
      </c>
      <c r="B36" t="s">
        <v>2</v>
      </c>
      <c r="C36">
        <v>2</v>
      </c>
      <c r="D36">
        <v>0</v>
      </c>
      <c r="E36" t="s">
        <v>13</v>
      </c>
      <c r="F36" t="s">
        <v>6</v>
      </c>
    </row>
    <row r="37" spans="1:6" x14ac:dyDescent="0.25">
      <c r="A37" t="s">
        <v>123</v>
      </c>
      <c r="B37" t="s">
        <v>8</v>
      </c>
      <c r="C37">
        <v>2</v>
      </c>
      <c r="D37">
        <v>4</v>
      </c>
      <c r="E37" t="s">
        <v>12</v>
      </c>
      <c r="F37" t="s">
        <v>37</v>
      </c>
    </row>
    <row r="38" spans="1:6" x14ac:dyDescent="0.25">
      <c r="A38" t="s">
        <v>124</v>
      </c>
      <c r="B38" t="s">
        <v>10</v>
      </c>
      <c r="C38">
        <v>1</v>
      </c>
      <c r="D38">
        <v>0</v>
      </c>
      <c r="E38" t="s">
        <v>11</v>
      </c>
      <c r="F38" t="s">
        <v>35</v>
      </c>
    </row>
    <row r="39" spans="1:6" x14ac:dyDescent="0.25">
      <c r="A39" t="s">
        <v>124</v>
      </c>
      <c r="B39" t="s">
        <v>6</v>
      </c>
      <c r="C39">
        <v>2</v>
      </c>
      <c r="D39">
        <v>0</v>
      </c>
      <c r="E39" t="s">
        <v>90</v>
      </c>
      <c r="F39" t="s">
        <v>6</v>
      </c>
    </row>
    <row r="40" spans="1:6" x14ac:dyDescent="0.25">
      <c r="A40" t="s">
        <v>124</v>
      </c>
      <c r="B40" t="s">
        <v>17</v>
      </c>
      <c r="C40">
        <v>1</v>
      </c>
      <c r="D40">
        <v>1</v>
      </c>
      <c r="E40" t="s">
        <v>5</v>
      </c>
      <c r="F40" t="s">
        <v>48</v>
      </c>
    </row>
    <row r="41" spans="1:6" x14ac:dyDescent="0.25">
      <c r="A41" t="s">
        <v>124</v>
      </c>
      <c r="B41" t="s">
        <v>14</v>
      </c>
      <c r="C41">
        <v>0</v>
      </c>
      <c r="D41">
        <v>3</v>
      </c>
      <c r="E41" t="s">
        <v>8</v>
      </c>
      <c r="F41" t="s">
        <v>47</v>
      </c>
    </row>
    <row r="42" spans="1:6" x14ac:dyDescent="0.25">
      <c r="A42" t="s">
        <v>124</v>
      </c>
      <c r="B42" t="s">
        <v>7</v>
      </c>
      <c r="C42">
        <v>1</v>
      </c>
      <c r="D42">
        <v>0</v>
      </c>
      <c r="E42" t="s">
        <v>120</v>
      </c>
      <c r="F42" t="s">
        <v>31</v>
      </c>
    </row>
    <row r="43" spans="1:6" x14ac:dyDescent="0.25">
      <c r="A43" t="s">
        <v>124</v>
      </c>
      <c r="B43" t="s">
        <v>9</v>
      </c>
      <c r="C43">
        <v>4</v>
      </c>
      <c r="D43">
        <v>1</v>
      </c>
      <c r="E43" t="s">
        <v>75</v>
      </c>
      <c r="F43" t="s">
        <v>31</v>
      </c>
    </row>
    <row r="44" spans="1:6" x14ac:dyDescent="0.25">
      <c r="A44" t="s">
        <v>124</v>
      </c>
      <c r="B44" t="s">
        <v>13</v>
      </c>
      <c r="C44">
        <v>1</v>
      </c>
      <c r="D44">
        <v>1</v>
      </c>
      <c r="E44" t="s">
        <v>4</v>
      </c>
      <c r="F44" t="s">
        <v>45</v>
      </c>
    </row>
    <row r="45" spans="1:6" x14ac:dyDescent="0.25">
      <c r="A45" t="s">
        <v>124</v>
      </c>
      <c r="B45" t="s">
        <v>12</v>
      </c>
      <c r="C45">
        <v>2</v>
      </c>
      <c r="D45">
        <v>3</v>
      </c>
      <c r="E45" t="s">
        <v>3</v>
      </c>
      <c r="F45" t="s">
        <v>44</v>
      </c>
    </row>
    <row r="46" spans="1:6" x14ac:dyDescent="0.25">
      <c r="A46" t="s">
        <v>124</v>
      </c>
      <c r="B46" t="s">
        <v>15</v>
      </c>
      <c r="C46">
        <v>0</v>
      </c>
      <c r="D46">
        <v>0</v>
      </c>
      <c r="E46" t="s">
        <v>2</v>
      </c>
      <c r="F46" t="s">
        <v>6</v>
      </c>
    </row>
    <row r="47" spans="1:6" x14ac:dyDescent="0.25">
      <c r="A47" t="s">
        <v>125</v>
      </c>
      <c r="B47" t="s">
        <v>12</v>
      </c>
      <c r="C47">
        <v>1</v>
      </c>
      <c r="D47">
        <v>3</v>
      </c>
      <c r="E47" t="s">
        <v>10</v>
      </c>
      <c r="F47" t="s">
        <v>44</v>
      </c>
    </row>
    <row r="48" spans="1:6" x14ac:dyDescent="0.25">
      <c r="A48" t="s">
        <v>125</v>
      </c>
      <c r="B48" t="s">
        <v>5</v>
      </c>
      <c r="C48">
        <v>3</v>
      </c>
      <c r="D48">
        <v>1</v>
      </c>
      <c r="E48" t="s">
        <v>9</v>
      </c>
      <c r="F48" t="s">
        <v>35</v>
      </c>
    </row>
    <row r="49" spans="1:6" x14ac:dyDescent="0.25">
      <c r="A49" t="s">
        <v>125</v>
      </c>
      <c r="B49" t="s">
        <v>75</v>
      </c>
      <c r="C49">
        <v>0</v>
      </c>
      <c r="D49">
        <v>2</v>
      </c>
      <c r="E49" t="s">
        <v>13</v>
      </c>
      <c r="F49" t="s">
        <v>42</v>
      </c>
    </row>
    <row r="50" spans="1:6" x14ac:dyDescent="0.25">
      <c r="A50" t="s">
        <v>125</v>
      </c>
      <c r="B50" t="s">
        <v>120</v>
      </c>
      <c r="C50">
        <v>1</v>
      </c>
      <c r="D50">
        <v>3</v>
      </c>
      <c r="E50" t="s">
        <v>11</v>
      </c>
      <c r="F50" t="s">
        <v>44</v>
      </c>
    </row>
    <row r="51" spans="1:6" x14ac:dyDescent="0.25">
      <c r="A51" t="s">
        <v>125</v>
      </c>
      <c r="B51" t="s">
        <v>90</v>
      </c>
      <c r="C51">
        <v>5</v>
      </c>
      <c r="D51">
        <v>1</v>
      </c>
      <c r="E51" t="s">
        <v>17</v>
      </c>
      <c r="F51" t="s">
        <v>39</v>
      </c>
    </row>
    <row r="52" spans="1:6" x14ac:dyDescent="0.25">
      <c r="A52" t="s">
        <v>125</v>
      </c>
      <c r="B52" t="s">
        <v>2</v>
      </c>
      <c r="C52">
        <v>4</v>
      </c>
      <c r="D52">
        <v>1</v>
      </c>
      <c r="E52" t="s">
        <v>6</v>
      </c>
      <c r="F52" t="s">
        <v>6</v>
      </c>
    </row>
    <row r="53" spans="1:6" x14ac:dyDescent="0.25">
      <c r="A53" t="s">
        <v>125</v>
      </c>
      <c r="B53" t="s">
        <v>4</v>
      </c>
      <c r="C53">
        <v>5</v>
      </c>
      <c r="D53">
        <v>1</v>
      </c>
      <c r="E53" t="s">
        <v>15</v>
      </c>
      <c r="F53" t="s">
        <v>33</v>
      </c>
    </row>
    <row r="54" spans="1:6" x14ac:dyDescent="0.25">
      <c r="A54" t="s">
        <v>125</v>
      </c>
      <c r="B54" t="s">
        <v>8</v>
      </c>
      <c r="C54">
        <v>1</v>
      </c>
      <c r="D54">
        <v>1</v>
      </c>
      <c r="E54" t="s">
        <v>7</v>
      </c>
      <c r="F54" t="s">
        <v>37</v>
      </c>
    </row>
    <row r="55" spans="1:6" x14ac:dyDescent="0.25">
      <c r="A55" t="s">
        <v>125</v>
      </c>
      <c r="B55" t="s">
        <v>3</v>
      </c>
      <c r="C55">
        <v>3</v>
      </c>
      <c r="D55">
        <v>0</v>
      </c>
      <c r="E55" t="s">
        <v>14</v>
      </c>
      <c r="F55" t="s">
        <v>31</v>
      </c>
    </row>
    <row r="56" spans="1:6" x14ac:dyDescent="0.25">
      <c r="A56" t="s">
        <v>126</v>
      </c>
      <c r="B56" t="s">
        <v>11</v>
      </c>
      <c r="C56">
        <v>2</v>
      </c>
      <c r="D56">
        <v>3</v>
      </c>
      <c r="E56" t="s">
        <v>12</v>
      </c>
      <c r="F56" t="s">
        <v>43</v>
      </c>
    </row>
    <row r="57" spans="1:6" x14ac:dyDescent="0.25">
      <c r="A57" t="s">
        <v>126</v>
      </c>
      <c r="B57" t="s">
        <v>14</v>
      </c>
      <c r="C57">
        <v>3</v>
      </c>
      <c r="D57">
        <v>4</v>
      </c>
      <c r="E57" t="s">
        <v>90</v>
      </c>
      <c r="F57" t="s">
        <v>47</v>
      </c>
    </row>
    <row r="58" spans="1:6" x14ac:dyDescent="0.25">
      <c r="A58" t="s">
        <v>126</v>
      </c>
      <c r="B58" t="s">
        <v>120</v>
      </c>
      <c r="C58">
        <v>2</v>
      </c>
      <c r="D58">
        <v>4</v>
      </c>
      <c r="E58" t="s">
        <v>3</v>
      </c>
      <c r="F58" t="s">
        <v>44</v>
      </c>
    </row>
    <row r="59" spans="1:6" x14ac:dyDescent="0.25">
      <c r="A59" t="s">
        <v>126</v>
      </c>
      <c r="B59" t="s">
        <v>7</v>
      </c>
      <c r="C59">
        <v>0</v>
      </c>
      <c r="D59">
        <v>1</v>
      </c>
      <c r="E59" t="s">
        <v>2</v>
      </c>
      <c r="F59" t="s">
        <v>31</v>
      </c>
    </row>
    <row r="60" spans="1:6" x14ac:dyDescent="0.25">
      <c r="A60" t="s">
        <v>126</v>
      </c>
      <c r="B60" t="s">
        <v>13</v>
      </c>
      <c r="C60">
        <v>1</v>
      </c>
      <c r="D60">
        <v>4</v>
      </c>
      <c r="E60" t="s">
        <v>5</v>
      </c>
      <c r="F60" t="s">
        <v>45</v>
      </c>
    </row>
    <row r="61" spans="1:6" x14ac:dyDescent="0.25">
      <c r="A61" t="s">
        <v>126</v>
      </c>
      <c r="B61" t="s">
        <v>17</v>
      </c>
      <c r="C61">
        <v>1</v>
      </c>
      <c r="D61">
        <v>3</v>
      </c>
      <c r="E61" t="s">
        <v>75</v>
      </c>
      <c r="F61" t="s">
        <v>48</v>
      </c>
    </row>
    <row r="62" spans="1:6" x14ac:dyDescent="0.25">
      <c r="A62" t="s">
        <v>126</v>
      </c>
      <c r="B62" t="s">
        <v>4</v>
      </c>
      <c r="C62">
        <v>1</v>
      </c>
      <c r="D62">
        <v>0</v>
      </c>
      <c r="E62" t="s">
        <v>9</v>
      </c>
      <c r="F62" t="s">
        <v>33</v>
      </c>
    </row>
    <row r="63" spans="1:6" x14ac:dyDescent="0.25">
      <c r="A63" t="s">
        <v>126</v>
      </c>
      <c r="B63" t="s">
        <v>15</v>
      </c>
      <c r="C63">
        <v>1</v>
      </c>
      <c r="D63">
        <v>2</v>
      </c>
      <c r="E63" t="s">
        <v>6</v>
      </c>
      <c r="F63" t="s">
        <v>6</v>
      </c>
    </row>
    <row r="64" spans="1:6" x14ac:dyDescent="0.25">
      <c r="A64" t="s">
        <v>126</v>
      </c>
      <c r="B64" t="s">
        <v>10</v>
      </c>
      <c r="C64">
        <v>1</v>
      </c>
      <c r="D64">
        <v>0</v>
      </c>
      <c r="E64" t="s">
        <v>8</v>
      </c>
      <c r="F64" t="s">
        <v>35</v>
      </c>
    </row>
  </sheetData>
  <autoFilter ref="A1:F64" xr:uid="{59B8F64D-516C-4995-85D6-A667848076C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1519-6E48-4677-AE28-76BD43DF1603}">
  <dimension ref="A1:H42"/>
  <sheetViews>
    <sheetView tabSelected="1" workbookViewId="0">
      <selection sqref="A1:A19"/>
    </sheetView>
  </sheetViews>
  <sheetFormatPr baseColWidth="10" defaultRowHeight="15" x14ac:dyDescent="0.25"/>
  <cols>
    <col min="1" max="1" width="19.85546875" bestFit="1" customWidth="1"/>
    <col min="2" max="2" width="11.28515625" bestFit="1" customWidth="1"/>
    <col min="3" max="3" width="16.7109375" bestFit="1" customWidth="1"/>
    <col min="8" max="8" width="79.7109375" bestFit="1" customWidth="1"/>
  </cols>
  <sheetData>
    <row r="1" spans="1:8" x14ac:dyDescent="0.25">
      <c r="A1" s="3" t="s">
        <v>0</v>
      </c>
      <c r="B1" s="3" t="s">
        <v>26</v>
      </c>
      <c r="C1" s="3" t="s">
        <v>27</v>
      </c>
      <c r="D1" s="3" t="s">
        <v>28</v>
      </c>
      <c r="E1" s="3" t="s">
        <v>29</v>
      </c>
      <c r="F1" s="1" t="s">
        <v>52</v>
      </c>
      <c r="G1" s="1" t="s">
        <v>53</v>
      </c>
      <c r="H1" s="1" t="s">
        <v>54</v>
      </c>
    </row>
    <row r="2" spans="1:8" x14ac:dyDescent="0.25">
      <c r="A2" t="s">
        <v>17</v>
      </c>
      <c r="B2" t="s">
        <v>48</v>
      </c>
      <c r="C2" t="s">
        <v>30</v>
      </c>
      <c r="D2">
        <v>1.45</v>
      </c>
      <c r="E2">
        <v>1</v>
      </c>
      <c r="F2" t="s">
        <v>55</v>
      </c>
      <c r="G2">
        <v>1</v>
      </c>
      <c r="H2" t="s">
        <v>56</v>
      </c>
    </row>
    <row r="3" spans="1:8" x14ac:dyDescent="0.25">
      <c r="A3" t="s">
        <v>5</v>
      </c>
      <c r="B3" t="s">
        <v>35</v>
      </c>
      <c r="C3" t="s">
        <v>36</v>
      </c>
      <c r="D3">
        <v>1.35</v>
      </c>
      <c r="E3">
        <v>4</v>
      </c>
      <c r="F3" t="s">
        <v>55</v>
      </c>
      <c r="G3">
        <v>0</v>
      </c>
      <c r="H3" t="s">
        <v>57</v>
      </c>
    </row>
    <row r="4" spans="1:8" x14ac:dyDescent="0.25">
      <c r="A4" t="s">
        <v>7</v>
      </c>
      <c r="B4" t="s">
        <v>31</v>
      </c>
      <c r="C4" t="s">
        <v>32</v>
      </c>
      <c r="D4">
        <v>1.2</v>
      </c>
      <c r="E4">
        <v>3</v>
      </c>
      <c r="F4" t="s">
        <v>55</v>
      </c>
      <c r="G4">
        <v>0</v>
      </c>
      <c r="H4" t="s">
        <v>58</v>
      </c>
    </row>
    <row r="5" spans="1:8" x14ac:dyDescent="0.25">
      <c r="A5" t="s">
        <v>10</v>
      </c>
      <c r="B5" t="s">
        <v>41</v>
      </c>
      <c r="C5" t="s">
        <v>36</v>
      </c>
      <c r="D5">
        <v>1.35</v>
      </c>
      <c r="E5">
        <v>3</v>
      </c>
      <c r="F5" t="s">
        <v>55</v>
      </c>
      <c r="G5">
        <v>0</v>
      </c>
      <c r="H5" t="s">
        <v>59</v>
      </c>
    </row>
    <row r="6" spans="1:8" x14ac:dyDescent="0.25">
      <c r="A6" t="s">
        <v>15</v>
      </c>
      <c r="B6" t="s">
        <v>6</v>
      </c>
      <c r="C6" t="s">
        <v>30</v>
      </c>
      <c r="D6">
        <v>1.4</v>
      </c>
      <c r="E6">
        <v>1</v>
      </c>
      <c r="F6" t="s">
        <v>55</v>
      </c>
      <c r="G6">
        <v>0</v>
      </c>
      <c r="H6" t="s">
        <v>60</v>
      </c>
    </row>
    <row r="7" spans="1:8" x14ac:dyDescent="0.25">
      <c r="A7" t="s">
        <v>11</v>
      </c>
      <c r="B7" t="s">
        <v>43</v>
      </c>
      <c r="C7" t="s">
        <v>38</v>
      </c>
      <c r="D7">
        <v>1.25</v>
      </c>
      <c r="E7">
        <v>2</v>
      </c>
      <c r="F7" t="s">
        <v>61</v>
      </c>
      <c r="G7">
        <v>1</v>
      </c>
      <c r="H7" t="s">
        <v>62</v>
      </c>
    </row>
    <row r="8" spans="1:8" x14ac:dyDescent="0.25">
      <c r="A8" t="s">
        <v>63</v>
      </c>
      <c r="B8" t="s">
        <v>6</v>
      </c>
      <c r="C8" t="s">
        <v>30</v>
      </c>
      <c r="D8">
        <v>1.4</v>
      </c>
      <c r="E8">
        <v>4</v>
      </c>
      <c r="F8" t="s">
        <v>55</v>
      </c>
      <c r="G8">
        <v>0</v>
      </c>
      <c r="H8" t="s">
        <v>64</v>
      </c>
    </row>
    <row r="9" spans="1:8" x14ac:dyDescent="0.25">
      <c r="A9" t="s">
        <v>75</v>
      </c>
      <c r="B9" t="s">
        <v>42</v>
      </c>
      <c r="C9" t="s">
        <v>30</v>
      </c>
      <c r="D9">
        <v>1.4</v>
      </c>
      <c r="E9">
        <v>3</v>
      </c>
      <c r="F9" t="s">
        <v>55</v>
      </c>
      <c r="G9">
        <v>1</v>
      </c>
      <c r="H9" t="s">
        <v>72</v>
      </c>
    </row>
    <row r="10" spans="1:8" x14ac:dyDescent="0.25">
      <c r="A10" t="s">
        <v>2</v>
      </c>
      <c r="B10" t="s">
        <v>6</v>
      </c>
      <c r="C10" t="s">
        <v>30</v>
      </c>
      <c r="D10">
        <v>1.45</v>
      </c>
      <c r="E10">
        <v>5</v>
      </c>
      <c r="F10" t="s">
        <v>55</v>
      </c>
      <c r="G10">
        <v>0</v>
      </c>
      <c r="H10" t="s">
        <v>64</v>
      </c>
    </row>
    <row r="11" spans="1:8" x14ac:dyDescent="0.25">
      <c r="A11" t="s">
        <v>13</v>
      </c>
      <c r="B11" t="s">
        <v>45</v>
      </c>
      <c r="C11" t="s">
        <v>46</v>
      </c>
      <c r="D11">
        <v>1.25</v>
      </c>
      <c r="E11">
        <v>2</v>
      </c>
      <c r="F11" t="s">
        <v>55</v>
      </c>
      <c r="G11">
        <v>1</v>
      </c>
      <c r="H11" t="s">
        <v>65</v>
      </c>
    </row>
    <row r="12" spans="1:8" x14ac:dyDescent="0.25">
      <c r="A12" t="s">
        <v>12</v>
      </c>
      <c r="B12" t="s">
        <v>44</v>
      </c>
      <c r="C12" t="s">
        <v>38</v>
      </c>
      <c r="D12">
        <v>1.25</v>
      </c>
      <c r="E12">
        <v>2</v>
      </c>
      <c r="F12" t="s">
        <v>61</v>
      </c>
      <c r="G12">
        <v>0</v>
      </c>
      <c r="H12" t="s">
        <v>67</v>
      </c>
    </row>
    <row r="13" spans="1:8" x14ac:dyDescent="0.25">
      <c r="A13" t="s">
        <v>90</v>
      </c>
      <c r="B13" t="s">
        <v>39</v>
      </c>
      <c r="C13" t="s">
        <v>40</v>
      </c>
      <c r="D13">
        <v>1.2</v>
      </c>
      <c r="E13">
        <v>3</v>
      </c>
      <c r="F13" t="s">
        <v>55</v>
      </c>
      <c r="G13">
        <v>0</v>
      </c>
      <c r="H13" t="s">
        <v>68</v>
      </c>
    </row>
    <row r="14" spans="1:8" x14ac:dyDescent="0.25">
      <c r="A14" t="s">
        <v>14</v>
      </c>
      <c r="B14" t="s">
        <v>47</v>
      </c>
      <c r="C14" t="s">
        <v>30</v>
      </c>
      <c r="D14">
        <v>1.4</v>
      </c>
      <c r="E14">
        <v>2</v>
      </c>
      <c r="F14" t="s">
        <v>55</v>
      </c>
      <c r="G14">
        <v>1</v>
      </c>
      <c r="H14" t="s">
        <v>69</v>
      </c>
    </row>
    <row r="15" spans="1:8" x14ac:dyDescent="0.25">
      <c r="A15" t="s">
        <v>8</v>
      </c>
      <c r="B15" t="s">
        <v>37</v>
      </c>
      <c r="C15" t="s">
        <v>38</v>
      </c>
      <c r="D15">
        <v>1.3</v>
      </c>
      <c r="E15">
        <v>3</v>
      </c>
      <c r="F15" t="s">
        <v>55</v>
      </c>
      <c r="G15">
        <v>0</v>
      </c>
      <c r="H15" t="s">
        <v>66</v>
      </c>
    </row>
    <row r="16" spans="1:8" x14ac:dyDescent="0.25">
      <c r="A16" t="s">
        <v>4</v>
      </c>
      <c r="B16" t="s">
        <v>33</v>
      </c>
      <c r="C16" t="s">
        <v>34</v>
      </c>
      <c r="D16">
        <v>1.1499999999999999</v>
      </c>
      <c r="E16">
        <v>4</v>
      </c>
      <c r="F16" t="s">
        <v>55</v>
      </c>
      <c r="G16">
        <v>0</v>
      </c>
      <c r="H16" t="s">
        <v>70</v>
      </c>
    </row>
    <row r="17" spans="1:8" x14ac:dyDescent="0.25">
      <c r="A17" t="s">
        <v>9</v>
      </c>
      <c r="B17" t="s">
        <v>31</v>
      </c>
      <c r="C17" t="s">
        <v>32</v>
      </c>
      <c r="D17">
        <v>1.2</v>
      </c>
      <c r="E17">
        <v>3</v>
      </c>
      <c r="F17" t="s">
        <v>55</v>
      </c>
      <c r="G17">
        <v>0</v>
      </c>
      <c r="H17" t="s">
        <v>71</v>
      </c>
    </row>
    <row r="18" spans="1:8" x14ac:dyDescent="0.25">
      <c r="A18" t="s">
        <v>3</v>
      </c>
      <c r="B18" t="s">
        <v>31</v>
      </c>
      <c r="C18" t="s">
        <v>32</v>
      </c>
      <c r="D18">
        <v>1.25</v>
      </c>
      <c r="E18">
        <v>4</v>
      </c>
      <c r="F18" t="s">
        <v>55</v>
      </c>
      <c r="G18">
        <v>0</v>
      </c>
      <c r="H18" t="s">
        <v>73</v>
      </c>
    </row>
    <row r="19" spans="1:8" x14ac:dyDescent="0.25">
      <c r="A19" t="s">
        <v>120</v>
      </c>
      <c r="B19" t="s">
        <v>44</v>
      </c>
      <c r="C19" t="s">
        <v>38</v>
      </c>
      <c r="D19">
        <v>1.25</v>
      </c>
      <c r="E19">
        <v>1</v>
      </c>
      <c r="F19" t="s">
        <v>61</v>
      </c>
      <c r="G19">
        <v>0</v>
      </c>
      <c r="H19" t="s">
        <v>74</v>
      </c>
    </row>
    <row r="25" spans="1:8" x14ac:dyDescent="0.25">
      <c r="B25" s="1"/>
      <c r="C25" s="1"/>
      <c r="D25" s="1"/>
    </row>
    <row r="42" spans="1:1" x14ac:dyDescent="0.25">
      <c r="A42" t="s">
        <v>120</v>
      </c>
    </row>
  </sheetData>
  <sortState xmlns:xlrd2="http://schemas.microsoft.com/office/spreadsheetml/2017/richdata2" ref="A3:H19">
    <sortCondition ref="A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FE4E-9DB2-4DFF-862E-9CB695231D46}">
  <dimension ref="A1:J19"/>
  <sheetViews>
    <sheetView workbookViewId="0">
      <selection activeCell="B2" sqref="B2:B19"/>
    </sheetView>
  </sheetViews>
  <sheetFormatPr baseColWidth="10" defaultRowHeight="15" x14ac:dyDescent="0.25"/>
  <cols>
    <col min="2" max="2" width="18.42578125" bestFit="1" customWidth="1"/>
    <col min="3" max="3" width="15.5703125" bestFit="1" customWidth="1"/>
    <col min="4" max="4" width="8.7109375" bestFit="1" customWidth="1"/>
    <col min="5" max="5" width="8.5703125" bestFit="1" customWidth="1"/>
    <col min="6" max="6" width="8.85546875" bestFit="1" customWidth="1"/>
    <col min="7" max="7" width="12.5703125" bestFit="1" customWidth="1"/>
    <col min="8" max="8" width="14.85546875" bestFit="1" customWidth="1"/>
    <col min="9" max="9" width="18.140625" bestFit="1" customWidth="1"/>
    <col min="10" max="10" width="7.140625" bestFit="1" customWidth="1"/>
  </cols>
  <sheetData>
    <row r="1" spans="1:10" x14ac:dyDescent="0.25">
      <c r="A1" s="1" t="s">
        <v>18</v>
      </c>
      <c r="B1" s="1" t="s">
        <v>0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  <c r="J1" s="1" t="s">
        <v>1</v>
      </c>
    </row>
    <row r="2" spans="1:10" x14ac:dyDescent="0.25">
      <c r="A2">
        <v>1</v>
      </c>
      <c r="B2" t="s">
        <v>7</v>
      </c>
      <c r="C2">
        <v>24</v>
      </c>
      <c r="D2">
        <v>15</v>
      </c>
      <c r="E2">
        <v>7</v>
      </c>
      <c r="F2">
        <v>2</v>
      </c>
      <c r="G2">
        <v>40</v>
      </c>
      <c r="H2">
        <v>15</v>
      </c>
      <c r="I2" s="2">
        <f t="shared" ref="I2:I19" si="0">G2-H2</f>
        <v>25</v>
      </c>
      <c r="J2">
        <f>D2*3+E2*1</f>
        <v>52</v>
      </c>
    </row>
    <row r="3" spans="1:10" x14ac:dyDescent="0.25">
      <c r="A3">
        <v>2</v>
      </c>
      <c r="B3" t="s">
        <v>3</v>
      </c>
      <c r="C3">
        <v>24</v>
      </c>
      <c r="D3">
        <v>13</v>
      </c>
      <c r="E3">
        <v>6</v>
      </c>
      <c r="F3">
        <v>5</v>
      </c>
      <c r="G3">
        <v>39</v>
      </c>
      <c r="H3">
        <v>24</v>
      </c>
      <c r="I3" s="2">
        <f t="shared" si="0"/>
        <v>15</v>
      </c>
      <c r="J3">
        <f t="shared" ref="J3:J19" si="1">D3*3+E3*1</f>
        <v>45</v>
      </c>
    </row>
    <row r="4" spans="1:10" x14ac:dyDescent="0.25">
      <c r="A4">
        <v>3</v>
      </c>
      <c r="B4" t="s">
        <v>2</v>
      </c>
      <c r="C4">
        <v>24</v>
      </c>
      <c r="D4">
        <v>12</v>
      </c>
      <c r="E4">
        <v>6</v>
      </c>
      <c r="F4">
        <v>6</v>
      </c>
      <c r="G4">
        <v>31</v>
      </c>
      <c r="H4">
        <v>21</v>
      </c>
      <c r="I4" s="2">
        <f t="shared" si="0"/>
        <v>10</v>
      </c>
      <c r="J4">
        <f t="shared" si="1"/>
        <v>42</v>
      </c>
    </row>
    <row r="5" spans="1:10" x14ac:dyDescent="0.25">
      <c r="A5">
        <v>4</v>
      </c>
      <c r="B5" t="s">
        <v>14</v>
      </c>
      <c r="C5">
        <v>24</v>
      </c>
      <c r="D5">
        <v>12</v>
      </c>
      <c r="E5">
        <v>5</v>
      </c>
      <c r="F5">
        <v>7</v>
      </c>
      <c r="G5">
        <v>34</v>
      </c>
      <c r="H5">
        <v>37</v>
      </c>
      <c r="I5" s="2">
        <f t="shared" si="0"/>
        <v>-3</v>
      </c>
      <c r="J5">
        <f t="shared" si="1"/>
        <v>41</v>
      </c>
    </row>
    <row r="6" spans="1:10" x14ac:dyDescent="0.25">
      <c r="A6">
        <v>5</v>
      </c>
      <c r="B6" t="s">
        <v>8</v>
      </c>
      <c r="C6">
        <v>24</v>
      </c>
      <c r="D6">
        <v>11</v>
      </c>
      <c r="E6">
        <v>6</v>
      </c>
      <c r="F6">
        <v>7</v>
      </c>
      <c r="G6">
        <v>40</v>
      </c>
      <c r="H6">
        <v>28</v>
      </c>
      <c r="I6" s="2">
        <f t="shared" si="0"/>
        <v>12</v>
      </c>
      <c r="J6">
        <f t="shared" si="1"/>
        <v>39</v>
      </c>
    </row>
    <row r="7" spans="1:10" x14ac:dyDescent="0.25">
      <c r="A7">
        <v>6</v>
      </c>
      <c r="B7" t="s">
        <v>6</v>
      </c>
      <c r="C7">
        <v>24</v>
      </c>
      <c r="D7">
        <v>12</v>
      </c>
      <c r="E7">
        <v>3</v>
      </c>
      <c r="F7">
        <v>9</v>
      </c>
      <c r="G7">
        <v>36</v>
      </c>
      <c r="H7">
        <v>36</v>
      </c>
      <c r="I7" s="2">
        <f t="shared" si="0"/>
        <v>0</v>
      </c>
      <c r="J7">
        <f t="shared" si="1"/>
        <v>39</v>
      </c>
    </row>
    <row r="8" spans="1:10" x14ac:dyDescent="0.25">
      <c r="A8">
        <v>7</v>
      </c>
      <c r="B8" t="s">
        <v>15</v>
      </c>
      <c r="C8">
        <v>24</v>
      </c>
      <c r="D8">
        <v>11</v>
      </c>
      <c r="E8">
        <v>4</v>
      </c>
      <c r="F8">
        <v>9</v>
      </c>
      <c r="G8">
        <v>39</v>
      </c>
      <c r="H8">
        <v>35</v>
      </c>
      <c r="I8" s="2">
        <f t="shared" si="0"/>
        <v>4</v>
      </c>
      <c r="J8">
        <f t="shared" si="1"/>
        <v>37</v>
      </c>
    </row>
    <row r="9" spans="1:10" x14ac:dyDescent="0.25">
      <c r="A9">
        <v>8</v>
      </c>
      <c r="B9" t="s">
        <v>5</v>
      </c>
      <c r="C9">
        <v>24</v>
      </c>
      <c r="D9">
        <v>9</v>
      </c>
      <c r="E9">
        <v>7</v>
      </c>
      <c r="F9">
        <v>8</v>
      </c>
      <c r="G9">
        <v>34</v>
      </c>
      <c r="H9">
        <v>29</v>
      </c>
      <c r="I9" s="2">
        <f t="shared" si="0"/>
        <v>5</v>
      </c>
      <c r="J9">
        <f t="shared" si="1"/>
        <v>34</v>
      </c>
    </row>
    <row r="10" spans="1:10" x14ac:dyDescent="0.25">
      <c r="A10">
        <v>9</v>
      </c>
      <c r="B10" t="s">
        <v>4</v>
      </c>
      <c r="C10">
        <v>24</v>
      </c>
      <c r="D10">
        <v>9</v>
      </c>
      <c r="E10">
        <v>7</v>
      </c>
      <c r="F10">
        <v>8</v>
      </c>
      <c r="G10">
        <v>26</v>
      </c>
      <c r="H10">
        <v>23</v>
      </c>
      <c r="I10" s="2">
        <f t="shared" si="0"/>
        <v>3</v>
      </c>
      <c r="J10">
        <f t="shared" si="1"/>
        <v>34</v>
      </c>
    </row>
    <row r="11" spans="1:10" x14ac:dyDescent="0.25">
      <c r="A11">
        <v>10</v>
      </c>
      <c r="B11" t="s">
        <v>9</v>
      </c>
      <c r="C11">
        <v>24</v>
      </c>
      <c r="D11">
        <v>8</v>
      </c>
      <c r="E11">
        <v>5</v>
      </c>
      <c r="F11">
        <v>11</v>
      </c>
      <c r="G11">
        <v>38</v>
      </c>
      <c r="H11">
        <v>38</v>
      </c>
      <c r="I11" s="2">
        <f t="shared" si="0"/>
        <v>0</v>
      </c>
      <c r="J11">
        <f t="shared" si="1"/>
        <v>29</v>
      </c>
    </row>
    <row r="12" spans="1:10" x14ac:dyDescent="0.25">
      <c r="A12">
        <v>11</v>
      </c>
      <c r="B12" t="s">
        <v>11</v>
      </c>
      <c r="C12">
        <v>24</v>
      </c>
      <c r="D12">
        <v>7</v>
      </c>
      <c r="E12">
        <v>8</v>
      </c>
      <c r="F12">
        <v>9</v>
      </c>
      <c r="G12">
        <v>32</v>
      </c>
      <c r="H12">
        <v>33</v>
      </c>
      <c r="I12" s="2">
        <f t="shared" si="0"/>
        <v>-1</v>
      </c>
      <c r="J12">
        <f t="shared" si="1"/>
        <v>29</v>
      </c>
    </row>
    <row r="13" spans="1:10" x14ac:dyDescent="0.25">
      <c r="A13">
        <v>12</v>
      </c>
      <c r="B13" t="s">
        <v>10</v>
      </c>
      <c r="C13">
        <v>24</v>
      </c>
      <c r="D13">
        <v>8</v>
      </c>
      <c r="E13">
        <v>5</v>
      </c>
      <c r="F13">
        <v>11</v>
      </c>
      <c r="G13">
        <v>20</v>
      </c>
      <c r="H13">
        <v>23</v>
      </c>
      <c r="I13" s="2">
        <f t="shared" si="0"/>
        <v>-3</v>
      </c>
      <c r="J13">
        <f t="shared" si="1"/>
        <v>29</v>
      </c>
    </row>
    <row r="14" spans="1:10" x14ac:dyDescent="0.25">
      <c r="A14">
        <v>13</v>
      </c>
      <c r="B14" t="s">
        <v>90</v>
      </c>
      <c r="C14">
        <v>24</v>
      </c>
      <c r="D14">
        <v>7</v>
      </c>
      <c r="E14">
        <v>6</v>
      </c>
      <c r="F14">
        <v>11</v>
      </c>
      <c r="G14">
        <v>35</v>
      </c>
      <c r="H14">
        <v>50</v>
      </c>
      <c r="I14" s="2">
        <f t="shared" si="0"/>
        <v>-15</v>
      </c>
      <c r="J14">
        <f t="shared" si="1"/>
        <v>27</v>
      </c>
    </row>
    <row r="15" spans="1:10" x14ac:dyDescent="0.25">
      <c r="A15">
        <v>14</v>
      </c>
      <c r="B15" t="s">
        <v>75</v>
      </c>
      <c r="C15">
        <v>24</v>
      </c>
      <c r="D15">
        <v>7</v>
      </c>
      <c r="E15">
        <v>5</v>
      </c>
      <c r="F15">
        <v>12</v>
      </c>
      <c r="G15">
        <v>31</v>
      </c>
      <c r="H15">
        <v>41</v>
      </c>
      <c r="I15" s="2">
        <f t="shared" si="0"/>
        <v>-10</v>
      </c>
      <c r="J15">
        <f t="shared" si="1"/>
        <v>26</v>
      </c>
    </row>
    <row r="16" spans="1:10" x14ac:dyDescent="0.25">
      <c r="A16">
        <v>15</v>
      </c>
      <c r="B16" t="s">
        <v>13</v>
      </c>
      <c r="C16">
        <v>24</v>
      </c>
      <c r="D16">
        <v>6</v>
      </c>
      <c r="E16">
        <v>7</v>
      </c>
      <c r="F16">
        <v>11</v>
      </c>
      <c r="G16">
        <v>23</v>
      </c>
      <c r="H16">
        <v>33</v>
      </c>
      <c r="I16" s="2">
        <f t="shared" si="0"/>
        <v>-10</v>
      </c>
      <c r="J16">
        <f t="shared" si="1"/>
        <v>25</v>
      </c>
    </row>
    <row r="17" spans="1:10" x14ac:dyDescent="0.25">
      <c r="A17">
        <v>16</v>
      </c>
      <c r="B17" t="s">
        <v>12</v>
      </c>
      <c r="C17">
        <v>24</v>
      </c>
      <c r="D17">
        <v>6</v>
      </c>
      <c r="E17">
        <v>6</v>
      </c>
      <c r="F17">
        <v>12</v>
      </c>
      <c r="G17">
        <v>36</v>
      </c>
      <c r="H17">
        <v>44</v>
      </c>
      <c r="I17" s="2">
        <f t="shared" si="0"/>
        <v>-8</v>
      </c>
      <c r="J17">
        <f t="shared" si="1"/>
        <v>24</v>
      </c>
    </row>
    <row r="18" spans="1:10" x14ac:dyDescent="0.25">
      <c r="A18">
        <v>17</v>
      </c>
      <c r="B18" t="s">
        <v>17</v>
      </c>
      <c r="C18">
        <v>24</v>
      </c>
      <c r="D18">
        <v>5</v>
      </c>
      <c r="E18">
        <v>7</v>
      </c>
      <c r="F18">
        <v>12</v>
      </c>
      <c r="G18">
        <v>27</v>
      </c>
      <c r="H18">
        <v>36</v>
      </c>
      <c r="I18" s="2">
        <f t="shared" si="0"/>
        <v>-9</v>
      </c>
      <c r="J18">
        <f t="shared" si="1"/>
        <v>22</v>
      </c>
    </row>
    <row r="19" spans="1:10" x14ac:dyDescent="0.25">
      <c r="A19">
        <v>18</v>
      </c>
      <c r="B19" t="s">
        <v>120</v>
      </c>
      <c r="C19">
        <v>24</v>
      </c>
      <c r="D19">
        <v>4</v>
      </c>
      <c r="E19">
        <v>8</v>
      </c>
      <c r="F19">
        <v>12</v>
      </c>
      <c r="G19">
        <v>27</v>
      </c>
      <c r="H19">
        <v>42</v>
      </c>
      <c r="I19" s="2">
        <f t="shared" si="0"/>
        <v>-15</v>
      </c>
      <c r="J19">
        <f t="shared" si="1"/>
        <v>20</v>
      </c>
    </row>
  </sheetData>
  <sortState xmlns:xlrd2="http://schemas.microsoft.com/office/spreadsheetml/2017/richdata2" ref="B2:O19">
    <sortCondition descending="1" ref="J2:J1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Partidos_Fecha</vt:lpstr>
      <vt:lpstr>Resultados_Clausura</vt:lpstr>
      <vt:lpstr>Data_Geografica</vt:lpstr>
      <vt:lpstr>Tabla_Posiciones_Acumulado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</cp:lastModifiedBy>
  <dcterms:created xsi:type="dcterms:W3CDTF">2026-08-31T14:24:38Z</dcterms:created>
  <dcterms:modified xsi:type="dcterms:W3CDTF">2026-09-04T02:12:26Z</dcterms:modified>
</cp:coreProperties>
</file>